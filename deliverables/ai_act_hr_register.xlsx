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Register" sheetId="3" state="visible" r:id="rId3"/>
    <sheet xmlns:r="http://schemas.openxmlformats.org/officeDocument/2006/relationships" name="Obligations" sheetId="4" state="visible" r:id="rId4"/>
    <sheet xmlns:r="http://schemas.openxmlformats.org/officeDocument/2006/relationships" name="Workers" sheetId="5" state="visible" r:id="rId5"/>
    <sheet xmlns:r="http://schemas.openxmlformats.org/officeDocument/2006/relationships" name="Timeline" sheetId="6" state="visible" r:id="rId6"/>
    <sheet xmlns:r="http://schemas.openxmlformats.org/officeDocument/2006/relationships" name="Headcount" sheetId="7" state="visible" r:id="rId7"/>
    <sheet xmlns:r="http://schemas.openxmlformats.org/officeDocument/2006/relationships" name="Settings" sheetId="8" state="visible" r:id="rId8"/>
    <sheet xmlns:r="http://schemas.openxmlformats.org/officeDocument/2006/relationships" name="Reconciliation" sheetId="9" state="visible" r:id="rId9"/>
  </sheets>
  <definedNames>
    <definedName name="_xlnm._FilterDatabase" localSheetId="2" hidden="1">'Register'!$A$4:$Z$16</definedName>
  </definedNames>
  <calcPr calcId="124519" fullCalcOnLoad="1"/>
</workbook>
</file>

<file path=xl/styles.xml><?xml version="1.0" encoding="utf-8"?>
<styleSheet xmlns="http://schemas.openxmlformats.org/spreadsheetml/2006/main">
  <numFmts count="3">
    <numFmt numFmtId="164" formatCode="yyyy-mm-dd"/>
    <numFmt numFmtId="165" formatCode="d mmm yyyy"/>
    <numFmt numFmtId="166" formatCode="#,##0;-#,##0"/>
  </numFmts>
  <fonts count="15">
    <font>
      <name val="Calibri"/>
      <family val="2"/>
      <color theme="1"/>
      <sz val="11"/>
      <scheme val="minor"/>
    </font>
    <font>
      <name val="Arial"/>
      <b val="1"/>
      <color rgb="001B2430"/>
      <sz val="14"/>
    </font>
    <font>
      <name val="Arial"/>
      <i val="1"/>
      <color rgb="005F6B7A"/>
      <sz val="10"/>
    </font>
    <font>
      <name val="Arial"/>
      <color rgb="001B2430"/>
      <sz val="10"/>
    </font>
    <font>
      <name val="Arial"/>
      <color rgb="000000FF"/>
      <sz val="10"/>
    </font>
    <font>
      <name val="Arial"/>
      <b val="1"/>
      <color rgb="00FFFFFF"/>
      <sz val="10"/>
    </font>
    <font>
      <name val="Arial"/>
      <b val="1"/>
      <color rgb="001B2430"/>
      <sz val="10"/>
    </font>
    <font>
      <name val="Arial"/>
      <color rgb="00008000"/>
      <sz val="10"/>
    </font>
    <font>
      <name val="Arial"/>
      <b val="1"/>
      <color rgb="001B2430"/>
      <sz val="11"/>
    </font>
    <font>
      <name val="Arial"/>
      <b val="1"/>
      <color rgb="00008000"/>
      <sz val="10"/>
    </font>
    <font>
      <name val="Arial"/>
      <b val="1"/>
      <color rgb="001B2430"/>
      <sz val="12"/>
    </font>
    <font>
      <name val="Arial"/>
      <b val="1"/>
      <color rgb="001B2430"/>
      <sz val="18"/>
    </font>
    <font>
      <name val="Arial"/>
      <color rgb="005F6B7A"/>
      <sz val="12"/>
    </font>
    <font>
      <name val="Arial"/>
      <color rgb="001F5FA8"/>
      <sz val="10"/>
    </font>
    <font>
      <name val="Arial"/>
      <color rgb="005F6B7A"/>
      <sz val="10"/>
    </font>
  </fonts>
  <fills count="5">
    <fill>
      <patternFill/>
    </fill>
    <fill>
      <patternFill patternType="gray125"/>
    </fill>
    <fill>
      <patternFill patternType="solid">
        <fgColor rgb="00FFFF00"/>
      </patternFill>
    </fill>
    <fill>
      <patternFill patternType="solid">
        <fgColor rgb="001F3A5F"/>
      </patternFill>
    </fill>
    <fill>
      <patternFill patternType="solid">
        <fgColor rgb="003E5C76"/>
      </patternFill>
    </fill>
  </fills>
  <borders count="1">
    <border>
      <left/>
      <right/>
      <top/>
      <bottom/>
      <diagonal/>
    </border>
  </borders>
  <cellStyleXfs count="1">
    <xf numFmtId="0" fontId="0" fillId="0" borderId="0"/>
  </cellStyleXfs>
  <cellXfs count="31">
    <xf numFmtId="0" fontId="0" fillId="0" borderId="0" pivotButton="0" quotePrefix="0" xfId="0"/>
    <xf numFmtId="0" fontId="11" fillId="0" borderId="0" pivotButton="0" quotePrefix="0" xfId="0"/>
    <xf numFmtId="0" fontId="12" fillId="0" borderId="0" pivotButton="0" quotePrefix="0" xfId="0"/>
    <xf numFmtId="0" fontId="8" fillId="0" borderId="0" pivotButton="0" quotePrefix="0" xfId="0"/>
    <xf numFmtId="0" fontId="3" fillId="0" borderId="0" pivotButton="0" quotePrefix="0" xfId="0"/>
    <xf numFmtId="0" fontId="4" fillId="0" borderId="0" pivotButton="0" quotePrefix="0" xfId="0"/>
    <xf numFmtId="0" fontId="7" fillId="0" borderId="0" pivotButton="0" quotePrefix="0" xfId="0"/>
    <xf numFmtId="0" fontId="3" fillId="2" borderId="0" pivotButton="0" quotePrefix="0" xfId="0"/>
    <xf numFmtId="0" fontId="13" fillId="0" borderId="0" pivotButton="0" quotePrefix="0" xfId="0"/>
    <xf numFmtId="0" fontId="9" fillId="0" borderId="0" pivotButton="0" quotePrefix="0" xfId="0"/>
    <xf numFmtId="0" fontId="3" fillId="0" borderId="0" applyAlignment="1" pivotButton="0" quotePrefix="0" xfId="0">
      <alignment vertical="top" wrapText="1"/>
    </xf>
    <xf numFmtId="0" fontId="14" fillId="0" borderId="0" pivotButton="0" quotePrefix="0" xfId="0"/>
    <xf numFmtId="0" fontId="1" fillId="0" borderId="0" pivotButton="0" quotePrefix="0" xfId="0"/>
    <xf numFmtId="0" fontId="2" fillId="0" borderId="0" pivotButton="0" quotePrefix="0" xfId="0"/>
    <xf numFmtId="0" fontId="6" fillId="0" borderId="0" applyAlignment="1" pivotButton="0" quotePrefix="0" xfId="0">
      <alignment horizontal="center" vertical="top"/>
    </xf>
    <xf numFmtId="0" fontId="7" fillId="0" borderId="0" applyAlignment="1" pivotButton="0" quotePrefix="0" xfId="0">
      <alignment horizontal="center" vertical="top"/>
    </xf>
    <xf numFmtId="0" fontId="6" fillId="0" borderId="0" pivotButton="0" quotePrefix="0" xfId="0"/>
    <xf numFmtId="0" fontId="9" fillId="0" borderId="0" applyAlignment="1" pivotButton="0" quotePrefix="0" xfId="0">
      <alignment horizontal="center" vertical="top"/>
    </xf>
    <xf numFmtId="0" fontId="5" fillId="4" borderId="0" applyAlignment="1" pivotButton="0" quotePrefix="0" xfId="0">
      <alignment vertical="center" wrapText="1"/>
    </xf>
    <xf numFmtId="0" fontId="5" fillId="3" borderId="0" applyAlignment="1" pivotButton="0" quotePrefix="0" xfId="0">
      <alignment vertical="center" wrapText="1"/>
    </xf>
    <xf numFmtId="0" fontId="4" fillId="0" borderId="0" applyAlignment="1" pivotButton="0" quotePrefix="0" xfId="0">
      <alignment vertical="top" wrapText="1"/>
    </xf>
    <xf numFmtId="3" fontId="3" fillId="0" borderId="0" pivotButton="0" quotePrefix="0" xfId="0"/>
    <xf numFmtId="0" fontId="2" fillId="0" borderId="0" applyAlignment="1" pivotButton="0" quotePrefix="0" xfId="0">
      <alignment vertical="top" wrapText="1"/>
    </xf>
    <xf numFmtId="0" fontId="3" fillId="0" borderId="0" applyAlignment="1" pivotButton="0" quotePrefix="0" xfId="0">
      <alignment horizontal="center" vertical="top"/>
    </xf>
    <xf numFmtId="165" fontId="7" fillId="0" borderId="0" pivotButton="0" quotePrefix="0" xfId="0"/>
    <xf numFmtId="166" fontId="3" fillId="0" borderId="0" pivotButton="0" quotePrefix="0" xfId="0"/>
    <xf numFmtId="3" fontId="6" fillId="0" borderId="0" pivotButton="0" quotePrefix="0" xfId="0"/>
    <xf numFmtId="3" fontId="4" fillId="0" borderId="0" pivotButton="0" quotePrefix="0" xfId="0"/>
    <xf numFmtId="165" fontId="4" fillId="0" borderId="0" pivotButton="0" quotePrefix="0" xfId="0"/>
    <xf numFmtId="165" fontId="4" fillId="2" borderId="0" pivotButton="0" quotePrefix="0" xfId="0"/>
    <xf numFmtId="0" fontId="10" fillId="0" borderId="0" pivotButton="0" quotePrefix="0" xfId="0"/>
  </cellXfs>
  <cellStyles count="1">
    <cellStyle name="Normal" xfId="0" builtinId="0" hidden="0"/>
  </cellStyles>
  <dxfs count="5">
    <dxf>
      <fill>
        <patternFill patternType="solid">
          <fgColor rgb="00F5C6C2"/>
        </patternFill>
      </fill>
    </dxf>
    <dxf>
      <fill>
        <patternFill patternType="solid">
          <fgColor rgb="00F8D7B0"/>
        </patternFill>
      </fill>
    </dxf>
    <dxf>
      <fill>
        <patternFill patternType="solid">
          <fgColor rgb="00E4E7EC"/>
        </patternFill>
      </fill>
    </dxf>
    <dxf>
      <fill>
        <patternFill patternType="solid">
          <fgColor rgb="00DCE8F7"/>
        </patternFill>
      </fill>
    </dxf>
    <dxf>
      <fill>
        <patternFill patternType="solid">
          <fgColor rgb="00D5EC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D0M3N1C0X/ai-act-hr-readiness-kit" TargetMode="External" Id="rId1"/></Relationships>
</file>

<file path=xl/worksheets/sheet1.xml><?xml version="1.0" encoding="utf-8"?>
<worksheet xmlns="http://schemas.openxmlformats.org/spreadsheetml/2006/main">
  <sheetPr>
    <outlinePr summaryBelow="1" summaryRight="1"/>
    <pageSetUpPr fitToPage="1"/>
  </sheetPr>
  <dimension ref="B2:C30"/>
  <sheetViews>
    <sheetView showGridLines="0" workbookViewId="0">
      <selection activeCell="A1" sqref="A1"/>
    </sheetView>
  </sheetViews>
  <sheetFormatPr baseColWidth="8" defaultRowHeight="15"/>
  <cols>
    <col width="3" customWidth="1" min="1" max="1"/>
    <col width="24" customWidth="1" min="2" max="2"/>
    <col width="100" customWidth="1" min="3" max="3"/>
  </cols>
  <sheetData>
    <row r="2">
      <c r="B2" s="1" t="inlineStr">
        <is>
          <t>AI Act Register for HR</t>
        </is>
      </c>
    </row>
    <row r="3">
      <c r="B3" s="2" t="inlineStr">
        <is>
          <t>Regulation (EU) 2024/1689 as amended by Regulation (EU) 2026/1744 - a dry run for an employer in four Member States</t>
        </is>
      </c>
    </row>
    <row r="5">
      <c r="B5" s="3" t="inlineStr">
        <is>
          <t>What it does</t>
        </is>
      </c>
    </row>
    <row r="6">
      <c r="C6" s="4" t="inlineStr">
        <is>
          <t>Lists every AI system the HR function uses and classifies it: prohibited, high-risk, not high-risk under Article 6(3), transparency only, or minimal risk.</t>
        </is>
      </c>
    </row>
    <row r="7">
      <c r="C7" s="4" t="inlineStr">
        <is>
          <t>Says which obligations each system triggers and from when, including where building a system in-house makes the employer its provider.</t>
        </is>
      </c>
    </row>
    <row r="8">
      <c r="C8" s="4" t="inlineStr">
        <is>
          <t>Says which national rules on informing and consulting workers apply in Italy, Germany, Spain and Poland.</t>
        </is>
      </c>
    </row>
    <row r="10">
      <c r="B10" s="3" t="inlineStr">
        <is>
          <t>How to read it</t>
        </is>
      </c>
    </row>
    <row r="11">
      <c r="B11" s="5" t="inlineStr">
        <is>
          <t>Blue text</t>
        </is>
      </c>
      <c r="C11" s="4" t="inlineStr">
        <is>
          <t>an input: an answer about a system, a date</t>
        </is>
      </c>
    </row>
    <row r="12">
      <c r="B12" s="4" t="inlineStr">
        <is>
          <t>Black text</t>
        </is>
      </c>
      <c r="C12" s="4" t="inlineStr">
        <is>
          <t>a formula</t>
        </is>
      </c>
    </row>
    <row r="13">
      <c r="B13" s="6" t="inlineStr">
        <is>
          <t>Green text</t>
        </is>
      </c>
      <c r="C13" s="4" t="inlineStr">
        <is>
          <t>a link to another sheet</t>
        </is>
      </c>
    </row>
    <row r="14">
      <c r="B14" s="7" t="inlineStr">
        <is>
          <t>Yellow fill</t>
        </is>
      </c>
      <c r="C14" s="4" t="inlineStr">
        <is>
          <t>a key assumption that moves the results</t>
        </is>
      </c>
    </row>
    <row r="16">
      <c r="B16" s="3" t="inlineStr">
        <is>
          <t>Sheets</t>
        </is>
      </c>
    </row>
    <row r="17">
      <c r="B17" s="8" t="inlineStr">
        <is>
          <t>Summary</t>
        </is>
      </c>
      <c r="C17" s="4" t="inlineStr">
        <is>
          <t>Systems by class, the provider question, days to the high-risk duties, national rules.</t>
        </is>
      </c>
    </row>
    <row r="18">
      <c r="B18" s="8" t="inlineStr">
        <is>
          <t>Register</t>
        </is>
      </c>
      <c r="C18" s="4" t="inlineStr">
        <is>
          <t>One row per AI system: the answers that decide its class, the class and why.</t>
        </is>
      </c>
    </row>
    <row r="19">
      <c r="B19" s="8" t="inlineStr">
        <is>
          <t>Obligations</t>
        </is>
      </c>
      <c r="C19" s="4" t="inlineStr">
        <is>
          <t>Which of thirteen obligations each system triggers, with the article.</t>
        </is>
      </c>
    </row>
    <row r="20">
      <c r="B20" s="8" t="inlineStr">
        <is>
          <t>Workers</t>
        </is>
      </c>
      <c r="C20" s="4" t="inlineStr">
        <is>
          <t>Which national rules on telling the workers each system triggers.</t>
        </is>
      </c>
    </row>
    <row r="21">
      <c r="B21" s="8" t="inlineStr">
        <is>
          <t>Timeline</t>
        </is>
      </c>
      <c r="C21" s="4" t="inlineStr">
        <is>
          <t>The obligations in date order: what is already in force, what starts in December 2027.</t>
        </is>
      </c>
    </row>
    <row r="22">
      <c r="B22" s="8" t="inlineStr">
        <is>
          <t>Headcount</t>
        </is>
      </c>
      <c r="C22" s="4" t="inlineStr">
        <is>
          <t>Workers by employer and department, to size each system's scope.</t>
        </is>
      </c>
    </row>
    <row r="23">
      <c r="B23" s="8" t="inlineStr">
        <is>
          <t>Settings</t>
        </is>
      </c>
      <c r="C23" s="4" t="inlineStr">
        <is>
          <t>The application dates of the AI Act and the date of this assessment.</t>
        </is>
      </c>
    </row>
    <row r="24">
      <c r="B24" s="8" t="inlineStr">
        <is>
          <t>Reconciliation</t>
        </is>
      </c>
      <c r="C24" s="4" t="inlineStr">
        <is>
          <t>Each workbook figure checked against the Python register.</t>
        </is>
      </c>
    </row>
    <row r="26">
      <c r="B26" s="3" t="inlineStr">
        <is>
          <t>Check</t>
        </is>
      </c>
      <c r="C26" s="9">
        <f>Reconciliation!B3</f>
        <v/>
      </c>
    </row>
    <row r="28" ht="40" customHeight="1">
      <c r="B28" s="3" t="inlineStr">
        <is>
          <t>Limits</t>
        </is>
      </c>
      <c r="C28" s="10" t="inlineStr">
        <is>
          <t>Synthetic organisation and systems. Not legal advice. The classification follows the AI Act text; Commission guidelines and national practice can move boundary cases. Sources and their status are in docs/verification.md in the repository.</t>
        </is>
      </c>
    </row>
    <row r="30">
      <c r="B30" s="11" t="inlineStr">
        <is>
          <t>Domenico Perroni</t>
        </is>
      </c>
      <c r="C30" s="8" t="inlineStr">
        <is>
          <t>https://github.com/D0M3N1C0X/ai-act-hr-readiness-kit</t>
        </is>
      </c>
    </row>
  </sheetData>
  <hyperlinks>
    <hyperlink ref="B17" location="'Summary'!A1"/>
    <hyperlink ref="B18" location="'Register'!A1"/>
    <hyperlink ref="B19" location="'Obligations'!A1"/>
    <hyperlink ref="B20" location="'Workers'!A1"/>
    <hyperlink ref="B21" location="'Timeline'!A1"/>
    <hyperlink ref="B22" location="'Headcount'!A1"/>
    <hyperlink ref="B23" location="'Settings'!A1"/>
    <hyperlink ref="B24" location="'Reconciliation'!A1"/>
    <hyperlink xmlns:r="http://schemas.openxmlformats.org/officeDocument/2006/relationships" ref="C30" r:id="rId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4"/>
  <sheetViews>
    <sheetView showGridLines="0" workbookViewId="0">
      <selection activeCell="A1" sqref="A1"/>
    </sheetView>
  </sheetViews>
  <sheetFormatPr baseColWidth="8" defaultRowHeight="15"/>
  <cols>
    <col width="3" customWidth="1" min="1" max="1"/>
    <col width="56" customWidth="1" min="2" max="2"/>
    <col width="14" customWidth="1" min="3" max="3"/>
    <col width="3" customWidth="1" min="4" max="4"/>
    <col width="40" customWidth="1" min="5" max="5"/>
    <col width="12" customWidth="1" min="6" max="6"/>
  </cols>
  <sheetData>
    <row r="1">
      <c r="A1" s="12" t="inlineStr">
        <is>
          <t>AI Act readiness for HR: summary</t>
        </is>
      </c>
    </row>
    <row r="2">
      <c r="A2" s="13" t="inlineStr">
        <is>
          <t>Dry run for an employer in four countries, 3,443 workers. Not legal advice.</t>
        </is>
      </c>
    </row>
    <row r="4">
      <c r="B4" s="3" t="inlineStr">
        <is>
          <t>AI systems by class</t>
        </is>
      </c>
      <c r="E4" s="3" t="inlineStr">
        <is>
          <t>Telling the workers: systems per rule</t>
        </is>
      </c>
    </row>
    <row r="5">
      <c r="B5" s="4" t="inlineStr">
        <is>
          <t>Prohibited</t>
        </is>
      </c>
      <c r="C5" s="14">
        <f>COUNTIF(Register!$W$5:$W$16,B5)</f>
        <v/>
      </c>
      <c r="E5" s="4" t="inlineStr">
        <is>
          <t>W-IT1 · Information on fully automated decision or monitoring systems</t>
        </is>
      </c>
      <c r="F5" s="15">
        <f>Workers!D18</f>
        <v/>
      </c>
    </row>
    <row r="6">
      <c r="B6" s="4" t="inlineStr">
        <is>
          <t>High-risk</t>
        </is>
      </c>
      <c r="C6" s="14">
        <f>COUNTIF(Register!$W$5:$W$16,B6)</f>
        <v/>
      </c>
      <c r="E6" s="4" t="inlineStr">
        <is>
          <t>W-IT2 · Agreement or authorisation for tools that allow remote monitoring</t>
        </is>
      </c>
      <c r="F6" s="15">
        <f>Workers!E18</f>
        <v/>
      </c>
    </row>
    <row r="7">
      <c r="B7" s="4" t="inlineStr">
        <is>
          <t>Not high-risk (Art. 6(3))</t>
        </is>
      </c>
      <c r="C7" s="14">
        <f>COUNTIF(Register!$W$5:$W$16,B7)</f>
        <v/>
      </c>
      <c r="E7" s="4" t="inlineStr">
        <is>
          <t>W-DE1 · Information and consultation on planned AI in work procedures</t>
        </is>
      </c>
      <c r="F7" s="15">
        <f>Workers!F18</f>
        <v/>
      </c>
    </row>
    <row r="8">
      <c r="B8" s="4" t="inlineStr">
        <is>
          <t>Transparency only</t>
        </is>
      </c>
      <c r="C8" s="14">
        <f>COUNTIF(Register!$W$5:$W$16,B8)</f>
        <v/>
      </c>
      <c r="E8" s="4" t="inlineStr">
        <is>
          <t>W-DE2 · Co-determination on technical devices able to monitor conduct or performance</t>
        </is>
      </c>
      <c r="F8" s="15">
        <f>Workers!G18</f>
        <v/>
      </c>
    </row>
    <row r="9">
      <c r="B9" s="4" t="inlineStr">
        <is>
          <t>Minimal risk</t>
        </is>
      </c>
      <c r="C9" s="14">
        <f>COUNTIF(Register!$W$5:$W$16,B9)</f>
        <v/>
      </c>
      <c r="E9" s="4" t="inlineStr">
        <is>
          <t>W-DE3 · Co-determination on selection guidelines</t>
        </is>
      </c>
      <c r="F9" s="15">
        <f>Workers!H18</f>
        <v/>
      </c>
    </row>
    <row r="10">
      <c r="E10" s="4" t="inlineStr">
        <is>
          <t>W-DE4 · An expert for the works council, deemed necessary for AI</t>
        </is>
      </c>
      <c r="F10" s="15">
        <f>Workers!I18</f>
        <v/>
      </c>
    </row>
    <row r="11">
      <c r="B11" s="16" t="inlineStr">
        <is>
          <t>Total</t>
        </is>
      </c>
      <c r="C11" s="14">
        <f>SUM(C5:C9)</f>
        <v/>
      </c>
      <c r="E11" s="4" t="inlineStr">
        <is>
          <t>W-ES1 · Information on the parameters of algorithms affecting work</t>
        </is>
      </c>
      <c r="F11" s="15">
        <f>Workers!J18</f>
        <v/>
      </c>
    </row>
    <row r="12">
      <c r="B12" s="4" t="inlineStr">
        <is>
          <t>Systems the employer put into service itself and therefore provides (Art. 3(3))</t>
        </is>
      </c>
      <c r="C12" s="14">
        <f>COUNTIF(Register!$X$5:$X$16,"Provider and deployer")</f>
        <v/>
      </c>
      <c r="E12" s="4" t="inlineStr">
        <is>
          <t>W-PL1 · Notice of monitoring other than video</t>
        </is>
      </c>
      <c r="F12" s="15">
        <f>Workers!K18</f>
        <v/>
      </c>
    </row>
    <row r="13">
      <c r="B13" s="4" t="inlineStr">
        <is>
          <t>Days to the high-risk duties (2 December 2027)</t>
        </is>
      </c>
      <c r="C13" s="17">
        <f>Timeline!F19</f>
        <v/>
      </c>
    </row>
    <row r="14">
      <c r="B14" s="4" t="inlineStr">
        <is>
          <t>High-risk systems already on the market: duties at their next significant design change</t>
        </is>
      </c>
      <c r="C14" s="14">
        <f>COUNTIF(Register!$Y$5:$Y$16,"At its next significant design change")</f>
        <v/>
      </c>
    </row>
  </sheetData>
  <conditionalFormatting sqref="B5:B9">
    <cfRule type="cellIs" priority="1" operator="equal" dxfId="0">
      <formula>"Prohibited"</formula>
    </cfRule>
    <cfRule type="cellIs" priority="2" operator="equal" dxfId="1">
      <formula>"High-risk"</formula>
    </cfRule>
    <cfRule type="cellIs" priority="3" operator="equal" dxfId="2">
      <formula>"Not high-risk (Art. 6(3))"</formula>
    </cfRule>
    <cfRule type="cellIs" priority="4" operator="equal" dxfId="3">
      <formula>"Transparency only"</formula>
    </cfRule>
    <cfRule type="cellIs" priority="5" operator="equal" dxfId="4">
      <formula>"Minimal risk"</formula>
    </cfRule>
    <cfRule type="cellIs" priority="6" operator="equal" dxfId="1">
      <formula>"Yes"</formula>
    </cfRule>
    <cfRule type="cellIs" priority="7" operator="equal" dxfId="0">
      <formula>"In force"</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22" customWidth="1" min="23" max="23"/>
    <col width="18" customWidth="1" min="24" max="24"/>
    <col width="22" customWidth="1" min="25" max="25"/>
    <col width="100" customWidth="1" min="26" max="26"/>
  </cols>
  <sheetData>
    <row r="1">
      <c r="A1" s="12" t="inlineStr">
        <is>
          <t>Register: every AI system the HR function uses, and its class under the AI Act</t>
        </is>
      </c>
    </row>
    <row r="2">
      <c r="A2" s="13" t="inlineStr">
        <is>
          <t>Blue columns are the answers about each system; the grey-headed columns are formulas. Change an answer and the system is reclassified.</t>
        </is>
      </c>
    </row>
    <row r="4" ht="58" customHeight="1">
      <c r="A4" s="18" t="inlineStr">
        <is>
          <t>ID</t>
        </is>
      </c>
      <c r="B4" s="18" t="inlineStr">
        <is>
          <t>AI system</t>
        </is>
      </c>
      <c r="C4" s="18" t="inlineStr">
        <is>
          <t>HR function</t>
        </is>
      </c>
      <c r="D4" s="18" t="inlineStr">
        <is>
          <t>Supplier</t>
        </is>
      </c>
      <c r="E4" s="18" t="inlineStr">
        <is>
          <t>Department in scope</t>
        </is>
      </c>
      <c r="F4" s="18" t="inlineStr">
        <is>
          <t>Used in IT</t>
        </is>
      </c>
      <c r="G4" s="18" t="inlineStr">
        <is>
          <t>Used in PL</t>
        </is>
      </c>
      <c r="H4" s="18" t="inlineStr">
        <is>
          <t>Used in DE</t>
        </is>
      </c>
      <c r="I4" s="18" t="inlineStr">
        <is>
          <t>Used in ES</t>
        </is>
      </c>
      <c r="J4" s="18" t="inlineStr">
        <is>
          <t>Used on applicants</t>
        </is>
      </c>
      <c r="K4" s="18" t="inlineStr">
        <is>
          <t>Infers emotions</t>
        </is>
      </c>
      <c r="L4" s="18" t="inlineStr">
        <is>
          <t>For medical or safety reasons</t>
        </is>
      </c>
      <c r="M4" s="18" t="inlineStr">
        <is>
          <t>Annex III point 4</t>
        </is>
      </c>
      <c r="N4" s="18" t="inlineStr">
        <is>
          <t>Profiles people</t>
        </is>
      </c>
      <c r="O4" s="18" t="inlineStr">
        <is>
          <t>Art. 6(3) condition</t>
        </is>
      </c>
      <c r="P4" s="18" t="inlineStr">
        <is>
          <t>Talks to people</t>
        </is>
      </c>
      <c r="Q4" s="18" t="inlineStr">
        <is>
          <t>Decides or helps decide about people</t>
        </is>
      </c>
      <c r="R4" s="18" t="inlineStr">
        <is>
          <t>Fully automated</t>
        </is>
      </c>
      <c r="S4" s="18" t="inlineStr">
        <is>
          <t>Monitors workers</t>
        </is>
      </c>
      <c r="T4" s="18" t="inlineStr">
        <is>
          <t>Employer controls the input data</t>
        </is>
      </c>
      <c r="U4" s="18" t="inlineStr">
        <is>
          <t>Type and model on the market before 2 Dec 2027</t>
        </is>
      </c>
      <c r="V4" s="19" t="inlineStr">
        <is>
          <t>Workers in scope</t>
        </is>
      </c>
      <c r="W4" s="19" t="inlineStr">
        <is>
          <t>Class</t>
        </is>
      </c>
      <c r="X4" s="19" t="inlineStr">
        <is>
          <t>Role</t>
        </is>
      </c>
      <c r="Y4" s="19" t="inlineStr">
        <is>
          <t>High-risk duties apply</t>
        </is>
      </c>
      <c r="Z4" s="19" t="inlineStr">
        <is>
          <t>Why</t>
        </is>
      </c>
    </row>
    <row r="5">
      <c r="A5" s="5" t="inlineStr">
        <is>
          <t>S01</t>
        </is>
      </c>
      <c r="B5" s="20" t="inlineStr">
        <is>
          <t>CV screening and ranking</t>
        </is>
      </c>
      <c r="C5" s="5" t="inlineStr">
        <is>
          <t>Recruitment</t>
        </is>
      </c>
      <c r="D5" s="5" t="inlineStr">
        <is>
          <t>Vendor</t>
        </is>
      </c>
      <c r="E5" s="5" t="inlineStr">
        <is>
          <t>All</t>
        </is>
      </c>
      <c r="F5" s="5" t="inlineStr">
        <is>
          <t>Yes</t>
        </is>
      </c>
      <c r="G5" s="5" t="inlineStr">
        <is>
          <t>Yes</t>
        </is>
      </c>
      <c r="H5" s="5" t="inlineStr">
        <is>
          <t>Yes</t>
        </is>
      </c>
      <c r="I5" s="5" t="inlineStr">
        <is>
          <t>Yes</t>
        </is>
      </c>
      <c r="J5" s="5" t="inlineStr">
        <is>
          <t>Yes</t>
        </is>
      </c>
      <c r="K5" s="5" t="inlineStr">
        <is>
          <t>No</t>
        </is>
      </c>
      <c r="L5" s="5" t="inlineStr">
        <is>
          <t>No</t>
        </is>
      </c>
      <c r="M5" s="5" t="inlineStr">
        <is>
          <t>4(a)</t>
        </is>
      </c>
      <c r="N5" s="5" t="inlineStr">
        <is>
          <t>Yes</t>
        </is>
      </c>
      <c r="O5" s="5" t="inlineStr">
        <is>
          <t>None</t>
        </is>
      </c>
      <c r="P5" s="5" t="inlineStr">
        <is>
          <t>No</t>
        </is>
      </c>
      <c r="Q5" s="5" t="inlineStr">
        <is>
          <t>Yes</t>
        </is>
      </c>
      <c r="R5" s="5" t="inlineStr">
        <is>
          <t>No</t>
        </is>
      </c>
      <c r="S5" s="5" t="inlineStr">
        <is>
          <t>No</t>
        </is>
      </c>
      <c r="T5" s="5" t="inlineStr">
        <is>
          <t>Yes</t>
        </is>
      </c>
      <c r="U5" s="5" t="inlineStr">
        <is>
          <t>Yes</t>
        </is>
      </c>
      <c r="V5" s="21">
        <f>SUMPRODUCT(Headcount!$C$5:$C$28*((Headcount!$A$5:$A$28="IT")*($F5="Yes")+(Headcount!$A$5:$A$28="PL")*($G5="Yes")+(Headcount!$A$5:$A$28="DE")*($H5="Yes")+(Headcount!$A$5:$A$28="ES")*($I5="Yes"))*((($E5="All")+(Headcount!$B$5:$B$28=$E5))&gt;0))</f>
        <v/>
      </c>
      <c r="W5" s="16">
        <f>IF(AND($K5="Yes",$L5&lt;&gt;"Yes"),"Prohibited",IF($M5&lt;&gt;"None",IF($N5="Yes","High-risk",IF($O5&lt;&gt;"None","Not high-risk (Art. 6(3))","High-risk")),IF($P5="Yes","Transparency only","Minimal risk")))</f>
        <v/>
      </c>
      <c r="X5" s="4">
        <f>IF(AND($D5="In-house",$W5="High-risk"),"Provider and deployer","Deployer")</f>
        <v/>
      </c>
      <c r="Y5" s="4">
        <f>IF($W5&lt;&gt;"High-risk","",IF($U5="Yes","At its next significant design change","From 2 December 2027"))</f>
        <v/>
      </c>
      <c r="Z5" s="5" t="inlineStr">
        <is>
          <t>Scores and ranks every application against the vacancy; recruiters see the ranked list first. Filtering applications is named in Annex III 4(a), and ranking people on their profile is profiling, so the Article 6(3) derogation cannot apply.</t>
        </is>
      </c>
    </row>
    <row r="6">
      <c r="A6" s="5" t="inlineStr">
        <is>
          <t>S02</t>
        </is>
      </c>
      <c r="B6" s="20" t="inlineStr">
        <is>
          <t>Targeted job advertising</t>
        </is>
      </c>
      <c r="C6" s="5" t="inlineStr">
        <is>
          <t>Recruitment</t>
        </is>
      </c>
      <c r="D6" s="5" t="inlineStr">
        <is>
          <t>Vendor</t>
        </is>
      </c>
      <c r="E6" s="5" t="inlineStr">
        <is>
          <t>All</t>
        </is>
      </c>
      <c r="F6" s="5" t="inlineStr">
        <is>
          <t>Yes</t>
        </is>
      </c>
      <c r="G6" s="5" t="inlineStr">
        <is>
          <t>Yes</t>
        </is>
      </c>
      <c r="H6" s="5" t="inlineStr">
        <is>
          <t>Yes</t>
        </is>
      </c>
      <c r="I6" s="5" t="inlineStr">
        <is>
          <t>Yes</t>
        </is>
      </c>
      <c r="J6" s="5" t="inlineStr">
        <is>
          <t>Yes</t>
        </is>
      </c>
      <c r="K6" s="5" t="inlineStr">
        <is>
          <t>No</t>
        </is>
      </c>
      <c r="L6" s="5" t="inlineStr">
        <is>
          <t>No</t>
        </is>
      </c>
      <c r="M6" s="5" t="inlineStr">
        <is>
          <t>4(a)</t>
        </is>
      </c>
      <c r="N6" s="5" t="inlineStr">
        <is>
          <t>Yes</t>
        </is>
      </c>
      <c r="O6" s="5" t="inlineStr">
        <is>
          <t>None</t>
        </is>
      </c>
      <c r="P6" s="5" t="inlineStr">
        <is>
          <t>No</t>
        </is>
      </c>
      <c r="Q6" s="5" t="inlineStr">
        <is>
          <t>No</t>
        </is>
      </c>
      <c r="R6" s="5" t="inlineStr">
        <is>
          <t>Yes</t>
        </is>
      </c>
      <c r="S6" s="5" t="inlineStr">
        <is>
          <t>No</t>
        </is>
      </c>
      <c r="T6" s="5" t="inlineStr">
        <is>
          <t>Yes</t>
        </is>
      </c>
      <c r="U6" s="5" t="inlineStr">
        <is>
          <t>Yes</t>
        </is>
      </c>
      <c r="V6" s="21">
        <f>SUMPRODUCT(Headcount!$C$5:$C$28*((Headcount!$A$5:$A$28="IT")*($F6="Yes")+(Headcount!$A$5:$A$28="PL")*($G6="Yes")+(Headcount!$A$5:$A$28="DE")*($H6="Yes")+(Headcount!$A$5:$A$28="ES")*($I6="Yes"))*((($E6="All")+(Headcount!$B$5:$B$28=$E6))&gt;0))</f>
        <v/>
      </c>
      <c r="W6" s="16">
        <f>IF(AND($K6="Yes",$L6&lt;&gt;"Yes"),"Prohibited",IF($M6&lt;&gt;"None",IF($N6="Yes","High-risk",IF($O6&lt;&gt;"None","Not high-risk (Art. 6(3))","High-risk")),IF($P6="Yes","Transparency only","Minimal risk")))</f>
        <v/>
      </c>
      <c r="X6" s="4">
        <f>IF(AND($D6="In-house",$W6="High-risk"),"Provider and deployer","Deployer")</f>
        <v/>
      </c>
      <c r="Y6" s="4">
        <f>IF($W6&lt;&gt;"High-risk","",IF($U6="Yes","At its next significant design change","From 2 December 2027"))</f>
        <v/>
      </c>
      <c r="Z6" s="5" t="inlineStr">
        <is>
          <t>The job board decides who sees each advert from users' profiles, with no one reviewing who is shown it. Placing targeted job advertisements is named in Annex III 4(a); the employer chooses the audience settings, so it controls part of the input.</t>
        </is>
      </c>
    </row>
    <row r="7">
      <c r="A7" s="5" t="inlineStr">
        <is>
          <t>S03</t>
        </is>
      </c>
      <c r="B7" s="20" t="inlineStr">
        <is>
          <t>Video interview analysis</t>
        </is>
      </c>
      <c r="C7" s="5" t="inlineStr">
        <is>
          <t>Recruitment</t>
        </is>
      </c>
      <c r="D7" s="5" t="inlineStr">
        <is>
          <t>Vendor</t>
        </is>
      </c>
      <c r="E7" s="5" t="inlineStr">
        <is>
          <t>All</t>
        </is>
      </c>
      <c r="F7" s="5" t="inlineStr">
        <is>
          <t>No</t>
        </is>
      </c>
      <c r="G7" s="5" t="inlineStr">
        <is>
          <t>No</t>
        </is>
      </c>
      <c r="H7" s="5" t="inlineStr">
        <is>
          <t>No</t>
        </is>
      </c>
      <c r="I7" s="5" t="inlineStr">
        <is>
          <t>Yes</t>
        </is>
      </c>
      <c r="J7" s="5" t="inlineStr">
        <is>
          <t>Yes</t>
        </is>
      </c>
      <c r="K7" s="5" t="inlineStr">
        <is>
          <t>Yes</t>
        </is>
      </c>
      <c r="L7" s="5" t="inlineStr">
        <is>
          <t>No</t>
        </is>
      </c>
      <c r="M7" s="5" t="inlineStr">
        <is>
          <t>4(a)</t>
        </is>
      </c>
      <c r="N7" s="5" t="inlineStr">
        <is>
          <t>Yes</t>
        </is>
      </c>
      <c r="O7" s="5" t="inlineStr">
        <is>
          <t>None</t>
        </is>
      </c>
      <c r="P7" s="5" t="inlineStr">
        <is>
          <t>No</t>
        </is>
      </c>
      <c r="Q7" s="5" t="inlineStr">
        <is>
          <t>Yes</t>
        </is>
      </c>
      <c r="R7" s="5" t="inlineStr">
        <is>
          <t>No</t>
        </is>
      </c>
      <c r="S7" s="5" t="inlineStr">
        <is>
          <t>No</t>
        </is>
      </c>
      <c r="T7" s="5" t="inlineStr">
        <is>
          <t>No</t>
        </is>
      </c>
      <c r="U7" s="5" t="inlineStr">
        <is>
          <t>Yes</t>
        </is>
      </c>
      <c r="V7" s="21">
        <f>SUMPRODUCT(Headcount!$C$5:$C$28*((Headcount!$A$5:$A$28="IT")*($F7="Yes")+(Headcount!$A$5:$A$28="PL")*($G7="Yes")+(Headcount!$A$5:$A$28="DE")*($H7="Yes")+(Headcount!$A$5:$A$28="ES")*($I7="Yes"))*((($E7="All")+(Headcount!$B$5:$B$28=$E7))&gt;0))</f>
        <v/>
      </c>
      <c r="W7" s="16">
        <f>IF(AND($K7="Yes",$L7&lt;&gt;"Yes"),"Prohibited",IF($M7&lt;&gt;"None",IF($N7="Yes","High-risk",IF($O7&lt;&gt;"None","Not high-risk (Art. 6(3))","High-risk")),IF($P7="Yes","Transparency only","Minimal risk")))</f>
        <v/>
      </c>
      <c r="X7" s="4">
        <f>IF(AND($D7="In-house",$W7="High-risk"),"Provider and deployer","Deployer")</f>
        <v/>
      </c>
      <c r="Y7" s="4">
        <f>IF($W7&lt;&gt;"High-risk","",IF($U7="Yes","At its next significant design change","From 2 December 2027"))</f>
        <v/>
      </c>
      <c r="Z7" s="5" t="inlineStr">
        <is>
          <t>A pilot in Barcelona scores recorded interviews on tone of voice and facial expressions. Inferring emotions in the workplace is prohibited unless for medical or safety reasons, and candidates in a selection process fall within it: the use has to stop.</t>
        </is>
      </c>
    </row>
    <row r="8">
      <c r="A8" s="5" t="inlineStr">
        <is>
          <t>S04</t>
        </is>
      </c>
      <c r="B8" s="20" t="inlineStr">
        <is>
          <t>Interview scheduling assistant</t>
        </is>
      </c>
      <c r="C8" s="5" t="inlineStr">
        <is>
          <t>Recruitment</t>
        </is>
      </c>
      <c r="D8" s="5" t="inlineStr">
        <is>
          <t>Vendor</t>
        </is>
      </c>
      <c r="E8" s="5" t="inlineStr">
        <is>
          <t>All</t>
        </is>
      </c>
      <c r="F8" s="5" t="inlineStr">
        <is>
          <t>Yes</t>
        </is>
      </c>
      <c r="G8" s="5" t="inlineStr">
        <is>
          <t>Yes</t>
        </is>
      </c>
      <c r="H8" s="5" t="inlineStr">
        <is>
          <t>Yes</t>
        </is>
      </c>
      <c r="I8" s="5" t="inlineStr">
        <is>
          <t>Yes</t>
        </is>
      </c>
      <c r="J8" s="5" t="inlineStr">
        <is>
          <t>Yes</t>
        </is>
      </c>
      <c r="K8" s="5" t="inlineStr">
        <is>
          <t>No</t>
        </is>
      </c>
      <c r="L8" s="5" t="inlineStr">
        <is>
          <t>No</t>
        </is>
      </c>
      <c r="M8" s="5" t="inlineStr">
        <is>
          <t>4(a)</t>
        </is>
      </c>
      <c r="N8" s="5" t="inlineStr">
        <is>
          <t>No</t>
        </is>
      </c>
      <c r="O8" s="5" t="inlineStr">
        <is>
          <t>(a)</t>
        </is>
      </c>
      <c r="P8" s="5" t="inlineStr">
        <is>
          <t>Yes</t>
        </is>
      </c>
      <c r="Q8" s="5" t="inlineStr">
        <is>
          <t>No</t>
        </is>
      </c>
      <c r="R8" s="5" t="inlineStr">
        <is>
          <t>No</t>
        </is>
      </c>
      <c r="S8" s="5" t="inlineStr">
        <is>
          <t>No</t>
        </is>
      </c>
      <c r="T8" s="5" t="inlineStr">
        <is>
          <t>No</t>
        </is>
      </c>
      <c r="U8" s="5" t="inlineStr">
        <is>
          <t>Yes</t>
        </is>
      </c>
      <c r="V8" s="21">
        <f>SUMPRODUCT(Headcount!$C$5:$C$28*((Headcount!$A$5:$A$28="IT")*($F8="Yes")+(Headcount!$A$5:$A$28="PL")*($G8="Yes")+(Headcount!$A$5:$A$28="DE")*($H8="Yes")+(Headcount!$A$5:$A$28="ES")*($I8="Yes"))*((($E8="All")+(Headcount!$B$5:$B$28=$E8))&gt;0))</f>
        <v/>
      </c>
      <c r="W8" s="16">
        <f>IF(AND($K8="Yes",$L8&lt;&gt;"Yes"),"Prohibited",IF($M8&lt;&gt;"None",IF($N8="Yes","High-risk",IF($O8&lt;&gt;"None","Not high-risk (Art. 6(3))","High-risk")),IF($P8="Yes","Transparency only","Minimal risk")))</f>
        <v/>
      </c>
      <c r="X8" s="4">
        <f>IF(AND($D8="In-house",$W8="High-risk"),"Provider and deployer","Deployer")</f>
        <v/>
      </c>
      <c r="Y8" s="4">
        <f>IF($W8&lt;&gt;"High-risk","",IF($U8="Yes","At its next significant design change","From 2 December 2027"))</f>
        <v/>
      </c>
      <c r="Z8" s="5" t="inlineStr">
        <is>
          <t>Proposes interview slots from calendars once a recruiter has shortlisted a candidate. Part of a recruitment process, but a narrow procedural task that profiles no one: Article 6(3)(a). It talks to candidates by email, so Article 50(1) applies to its provider.</t>
        </is>
      </c>
    </row>
    <row r="9">
      <c r="A9" s="5" t="inlineStr">
        <is>
          <t>S05</t>
        </is>
      </c>
      <c r="B9" s="20" t="inlineStr">
        <is>
          <t>Customer service performance analytics</t>
        </is>
      </c>
      <c r="C9" s="5" t="inlineStr">
        <is>
          <t>Performance</t>
        </is>
      </c>
      <c r="D9" s="5" t="inlineStr">
        <is>
          <t>Vendor</t>
        </is>
      </c>
      <c r="E9" s="5" t="inlineStr">
        <is>
          <t>Customer Service</t>
        </is>
      </c>
      <c r="F9" s="5" t="inlineStr">
        <is>
          <t>Yes</t>
        </is>
      </c>
      <c r="G9" s="5" t="inlineStr">
        <is>
          <t>Yes</t>
        </is>
      </c>
      <c r="H9" s="5" t="inlineStr">
        <is>
          <t>Yes</t>
        </is>
      </c>
      <c r="I9" s="5" t="inlineStr">
        <is>
          <t>Yes</t>
        </is>
      </c>
      <c r="J9" s="5" t="inlineStr">
        <is>
          <t>No</t>
        </is>
      </c>
      <c r="K9" s="5" t="inlineStr">
        <is>
          <t>No</t>
        </is>
      </c>
      <c r="L9" s="5" t="inlineStr">
        <is>
          <t>No</t>
        </is>
      </c>
      <c r="M9" s="5" t="inlineStr">
        <is>
          <t>4(b)</t>
        </is>
      </c>
      <c r="N9" s="5" t="inlineStr">
        <is>
          <t>Yes</t>
        </is>
      </c>
      <c r="O9" s="5" t="inlineStr">
        <is>
          <t>None</t>
        </is>
      </c>
      <c r="P9" s="5" t="inlineStr">
        <is>
          <t>No</t>
        </is>
      </c>
      <c r="Q9" s="5" t="inlineStr">
        <is>
          <t>Yes</t>
        </is>
      </c>
      <c r="R9" s="5" t="inlineStr">
        <is>
          <t>No</t>
        </is>
      </c>
      <c r="S9" s="5" t="inlineStr">
        <is>
          <t>Yes</t>
        </is>
      </c>
      <c r="T9" s="5" t="inlineStr">
        <is>
          <t>Yes</t>
        </is>
      </c>
      <c r="U9" s="5" t="inlineStr">
        <is>
          <t>Yes</t>
        </is>
      </c>
      <c r="V9" s="21">
        <f>SUMPRODUCT(Headcount!$C$5:$C$28*((Headcount!$A$5:$A$28="IT")*($F9="Yes")+(Headcount!$A$5:$A$28="PL")*($G9="Yes")+(Headcount!$A$5:$A$28="DE")*($H9="Yes")+(Headcount!$A$5:$A$28="ES")*($I9="Yes"))*((($E9="All")+(Headcount!$B$5:$B$28=$E9))&gt;0))</f>
        <v/>
      </c>
      <c r="W9" s="16">
        <f>IF(AND($K9="Yes",$L9&lt;&gt;"Yes"),"Prohibited",IF($M9&lt;&gt;"None",IF($N9="Yes","High-risk",IF($O9&lt;&gt;"None","Not high-risk (Art. 6(3))","High-risk")),IF($P9="Yes","Transparency only","Minimal risk")))</f>
        <v/>
      </c>
      <c r="X9" s="4">
        <f>IF(AND($D9="In-house",$W9="High-risk"),"Provider and deployer","Deployer")</f>
        <v/>
      </c>
      <c r="Y9" s="4">
        <f>IF($W9&lt;&gt;"High-risk","",IF($U9="Yes","At its next significant design change","From 2 December 2027"))</f>
        <v/>
      </c>
      <c r="Z9" s="5" t="inlineStr">
        <is>
          <t>Scores each agent weekly on handling time, resolution and sentiment of the customer's words, and flags low performers to team leads. Monitoring and evaluating performance is named in Annex III 4(b); scoring individuals is profiling.</t>
        </is>
      </c>
    </row>
    <row r="10">
      <c r="A10" s="5" t="inlineStr">
        <is>
          <t>S06</t>
        </is>
      </c>
      <c r="B10" s="20" t="inlineStr">
        <is>
          <t>Shift scheduling optimiser</t>
        </is>
      </c>
      <c r="C10" s="5" t="inlineStr">
        <is>
          <t>Workforce planning</t>
        </is>
      </c>
      <c r="D10" s="5" t="inlineStr">
        <is>
          <t>Vendor</t>
        </is>
      </c>
      <c r="E10" s="5" t="inlineStr">
        <is>
          <t>Operations</t>
        </is>
      </c>
      <c r="F10" s="5" t="inlineStr">
        <is>
          <t>Yes</t>
        </is>
      </c>
      <c r="G10" s="5" t="inlineStr">
        <is>
          <t>Yes</t>
        </is>
      </c>
      <c r="H10" s="5" t="inlineStr">
        <is>
          <t>Yes</t>
        </is>
      </c>
      <c r="I10" s="5" t="inlineStr">
        <is>
          <t>Yes</t>
        </is>
      </c>
      <c r="J10" s="5" t="inlineStr">
        <is>
          <t>No</t>
        </is>
      </c>
      <c r="K10" s="5" t="inlineStr">
        <is>
          <t>No</t>
        </is>
      </c>
      <c r="L10" s="5" t="inlineStr">
        <is>
          <t>No</t>
        </is>
      </c>
      <c r="M10" s="5" t="inlineStr">
        <is>
          <t>4(b)</t>
        </is>
      </c>
      <c r="N10" s="5" t="inlineStr">
        <is>
          <t>Yes</t>
        </is>
      </c>
      <c r="O10" s="5" t="inlineStr">
        <is>
          <t>None</t>
        </is>
      </c>
      <c r="P10" s="5" t="inlineStr">
        <is>
          <t>No</t>
        </is>
      </c>
      <c r="Q10" s="5" t="inlineStr">
        <is>
          <t>Yes</t>
        </is>
      </c>
      <c r="R10" s="5" t="inlineStr">
        <is>
          <t>Yes</t>
        </is>
      </c>
      <c r="S10" s="5" t="inlineStr">
        <is>
          <t>No</t>
        </is>
      </c>
      <c r="T10" s="5" t="inlineStr">
        <is>
          <t>Yes</t>
        </is>
      </c>
      <c r="U10" s="5" t="inlineStr">
        <is>
          <t>Yes</t>
        </is>
      </c>
      <c r="V10" s="21">
        <f>SUMPRODUCT(Headcount!$C$5:$C$28*((Headcount!$A$5:$A$28="IT")*($F10="Yes")+(Headcount!$A$5:$A$28="PL")*($G10="Yes")+(Headcount!$A$5:$A$28="DE")*($H10="Yes")+(Headcount!$A$5:$A$28="ES")*($I10="Yes"))*((($E10="All")+(Headcount!$B$5:$B$28=$E10))&gt;0))</f>
        <v/>
      </c>
      <c r="W10" s="16">
        <f>IF(AND($K10="Yes",$L10&lt;&gt;"Yes"),"Prohibited",IF($M10&lt;&gt;"None",IF($N10="Yes","High-risk",IF($O10&lt;&gt;"None","Not high-risk (Art. 6(3))","High-risk")),IF($P10="Yes","Transparency only","Minimal risk")))</f>
        <v/>
      </c>
      <c r="X10" s="4">
        <f>IF(AND($D10="In-house",$W10="High-risk"),"Provider and deployer","Deployer")</f>
        <v/>
      </c>
      <c r="Y10" s="4">
        <f>IF($W10&lt;&gt;"High-risk","",IF($U10="Yes","At its next significant design change","From 2 December 2027"))</f>
        <v/>
      </c>
      <c r="Z10" s="5" t="inlineStr">
        <is>
          <t>Allocates shifts in the warehouses from each worker's certified skills, availability and past attendance, and publishes the rota unless a supervisor steps in. Allocating tasks on individual behaviour or characteristics is named in Annex III 4(b), and past attendance makes it profiling. A boundary case: on availability alone it might not be.</t>
        </is>
      </c>
    </row>
    <row r="11">
      <c r="A11" s="5" t="inlineStr">
        <is>
          <t>S07</t>
        </is>
      </c>
      <c r="B11" s="20" t="inlineStr">
        <is>
          <t>Attrition-risk model</t>
        </is>
      </c>
      <c r="C11" s="5" t="inlineStr">
        <is>
          <t>Retention</t>
        </is>
      </c>
      <c r="D11" s="5" t="inlineStr">
        <is>
          <t>In-house</t>
        </is>
      </c>
      <c r="E11" s="5" t="inlineStr">
        <is>
          <t>All</t>
        </is>
      </c>
      <c r="F11" s="5" t="inlineStr">
        <is>
          <t>Yes</t>
        </is>
      </c>
      <c r="G11" s="5" t="inlineStr">
        <is>
          <t>Yes</t>
        </is>
      </c>
      <c r="H11" s="5" t="inlineStr">
        <is>
          <t>Yes</t>
        </is>
      </c>
      <c r="I11" s="5" t="inlineStr">
        <is>
          <t>Yes</t>
        </is>
      </c>
      <c r="J11" s="5" t="inlineStr">
        <is>
          <t>No</t>
        </is>
      </c>
      <c r="K11" s="5" t="inlineStr">
        <is>
          <t>No</t>
        </is>
      </c>
      <c r="L11" s="5" t="inlineStr">
        <is>
          <t>No</t>
        </is>
      </c>
      <c r="M11" s="5" t="inlineStr">
        <is>
          <t>4(b)</t>
        </is>
      </c>
      <c r="N11" s="5" t="inlineStr">
        <is>
          <t>Yes</t>
        </is>
      </c>
      <c r="O11" s="5" t="inlineStr">
        <is>
          <t>None</t>
        </is>
      </c>
      <c r="P11" s="5" t="inlineStr">
        <is>
          <t>No</t>
        </is>
      </c>
      <c r="Q11" s="5" t="inlineStr">
        <is>
          <t>Yes</t>
        </is>
      </c>
      <c r="R11" s="5" t="inlineStr">
        <is>
          <t>No</t>
        </is>
      </c>
      <c r="S11" s="5" t="inlineStr">
        <is>
          <t>No</t>
        </is>
      </c>
      <c r="T11" s="5" t="inlineStr">
        <is>
          <t>Yes</t>
        </is>
      </c>
      <c r="U11" s="5" t="inlineStr">
        <is>
          <t>Yes</t>
        </is>
      </c>
      <c r="V11" s="21">
        <f>SUMPRODUCT(Headcount!$C$5:$C$28*((Headcount!$A$5:$A$28="IT")*($F11="Yes")+(Headcount!$A$5:$A$28="PL")*($G11="Yes")+(Headcount!$A$5:$A$28="DE")*($H11="Yes")+(Headcount!$A$5:$A$28="ES")*($I11="Yes"))*((($E11="All")+(Headcount!$B$5:$B$28=$E11))&gt;0))</f>
        <v/>
      </c>
      <c r="W11" s="16">
        <f>IF(AND($K11="Yes",$L11&lt;&gt;"Yes"),"Prohibited",IF($M11&lt;&gt;"None",IF($N11="Yes","High-risk",IF($O11&lt;&gt;"None","Not high-risk (Art. 6(3))","High-risk")),IF($P11="Yes","Transparency only","Minimal risk")))</f>
        <v/>
      </c>
      <c r="X11" s="4">
        <f>IF(AND($D11="In-house",$W11="High-risk"),"Provider and deployer","Deployer")</f>
        <v/>
      </c>
      <c r="Y11" s="4">
        <f>IF($W11&lt;&gt;"High-risk","",IF($U11="Yes","At its next significant design change","From 2 December 2027"))</f>
        <v/>
      </c>
      <c r="Z11" s="5" t="inlineStr">
        <is>
          <t>Built by HR analytics on the people data (see hr-people-analytics): a risk score per employee that managers use to plan retention conversations and counter-offers. It evaluates individuals and shapes decisions on terms of work, so it is high-risk, and because the employer put it into service for its own use, the employer is its provider (Art. 3(3) and (11)).</t>
        </is>
      </c>
    </row>
    <row r="12">
      <c r="A12" s="5" t="inlineStr">
        <is>
          <t>S08</t>
        </is>
      </c>
      <c r="B12" s="20" t="inlineStr">
        <is>
          <t>Pay review recommender</t>
        </is>
      </c>
      <c r="C12" s="5" t="inlineStr">
        <is>
          <t>Reward</t>
        </is>
      </c>
      <c r="D12" s="5" t="inlineStr">
        <is>
          <t>Vendor</t>
        </is>
      </c>
      <c r="E12" s="5" t="inlineStr">
        <is>
          <t>All</t>
        </is>
      </c>
      <c r="F12" s="5" t="inlineStr">
        <is>
          <t>Yes</t>
        </is>
      </c>
      <c r="G12" s="5" t="inlineStr">
        <is>
          <t>Yes</t>
        </is>
      </c>
      <c r="H12" s="5" t="inlineStr">
        <is>
          <t>Yes</t>
        </is>
      </c>
      <c r="I12" s="5" t="inlineStr">
        <is>
          <t>Yes</t>
        </is>
      </c>
      <c r="J12" s="5" t="inlineStr">
        <is>
          <t>No</t>
        </is>
      </c>
      <c r="K12" s="5" t="inlineStr">
        <is>
          <t>No</t>
        </is>
      </c>
      <c r="L12" s="5" t="inlineStr">
        <is>
          <t>No</t>
        </is>
      </c>
      <c r="M12" s="5" t="inlineStr">
        <is>
          <t>4(b)</t>
        </is>
      </c>
      <c r="N12" s="5" t="inlineStr">
        <is>
          <t>Yes</t>
        </is>
      </c>
      <c r="O12" s="5" t="inlineStr">
        <is>
          <t>None</t>
        </is>
      </c>
      <c r="P12" s="5" t="inlineStr">
        <is>
          <t>No</t>
        </is>
      </c>
      <c r="Q12" s="5" t="inlineStr">
        <is>
          <t>Yes</t>
        </is>
      </c>
      <c r="R12" s="5" t="inlineStr">
        <is>
          <t>No</t>
        </is>
      </c>
      <c r="S12" s="5" t="inlineStr">
        <is>
          <t>No</t>
        </is>
      </c>
      <c r="T12" s="5" t="inlineStr">
        <is>
          <t>Yes</t>
        </is>
      </c>
      <c r="U12" s="5" t="inlineStr">
        <is>
          <t>Yes</t>
        </is>
      </c>
      <c r="V12" s="21">
        <f>SUMPRODUCT(Headcount!$C$5:$C$28*((Headcount!$A$5:$A$28="IT")*($F12="Yes")+(Headcount!$A$5:$A$28="PL")*($G12="Yes")+(Headcount!$A$5:$A$28="DE")*($H12="Yes")+(Headcount!$A$5:$A$28="ES")*($I12="Yes"))*((($E12="All")+(Headcount!$B$5:$B$28=$E12))&gt;0))</f>
        <v/>
      </c>
      <c r="W12" s="16">
        <f>IF(AND($K12="Yes",$L12&lt;&gt;"Yes"),"Prohibited",IF($M12&lt;&gt;"None",IF($N12="Yes","High-risk",IF($O12&lt;&gt;"None","Not high-risk (Art. 6(3))","High-risk")),IF($P12="Yes","Transparency only","Minimal risk")))</f>
        <v/>
      </c>
      <c r="X12" s="4">
        <f>IF(AND($D12="In-house",$W12="High-risk"),"Provider and deployer","Deployer")</f>
        <v/>
      </c>
      <c r="Y12" s="4">
        <f>IF($W12&lt;&gt;"High-risk","",IF($U12="Yes","At its next significant design change","From 2 December 2027"))</f>
        <v/>
      </c>
      <c r="Z12" s="5" t="inlineStr">
        <is>
          <t>The compensation module proposes each employee's merit increase from rating, compa-ratio and market data; managers accept or edit. Decisions affecting terms of work-related relationships are named in Annex III 4(b). Its pay-setting criteria must also be objective and gender-neutral under the Pay Transparency Directive (Articles 4(4) and 6(1)).</t>
        </is>
      </c>
    </row>
    <row r="13">
      <c r="A13" s="5" t="inlineStr">
        <is>
          <t>S09</t>
        </is>
      </c>
      <c r="B13" s="20" t="inlineStr">
        <is>
          <t>HR service chatbot</t>
        </is>
      </c>
      <c r="C13" s="5" t="inlineStr">
        <is>
          <t>HR service</t>
        </is>
      </c>
      <c r="D13" s="5" t="inlineStr">
        <is>
          <t>Vendor</t>
        </is>
      </c>
      <c r="E13" s="5" t="inlineStr">
        <is>
          <t>All</t>
        </is>
      </c>
      <c r="F13" s="5" t="inlineStr">
        <is>
          <t>Yes</t>
        </is>
      </c>
      <c r="G13" s="5" t="inlineStr">
        <is>
          <t>Yes</t>
        </is>
      </c>
      <c r="H13" s="5" t="inlineStr">
        <is>
          <t>Yes</t>
        </is>
      </c>
      <c r="I13" s="5" t="inlineStr">
        <is>
          <t>Yes</t>
        </is>
      </c>
      <c r="J13" s="5" t="inlineStr">
        <is>
          <t>No</t>
        </is>
      </c>
      <c r="K13" s="5" t="inlineStr">
        <is>
          <t>No</t>
        </is>
      </c>
      <c r="L13" s="5" t="inlineStr">
        <is>
          <t>No</t>
        </is>
      </c>
      <c r="M13" s="5" t="inlineStr">
        <is>
          <t>None</t>
        </is>
      </c>
      <c r="N13" s="5" t="inlineStr">
        <is>
          <t>No</t>
        </is>
      </c>
      <c r="O13" s="5" t="inlineStr">
        <is>
          <t>None</t>
        </is>
      </c>
      <c r="P13" s="5" t="inlineStr">
        <is>
          <t>Yes</t>
        </is>
      </c>
      <c r="Q13" s="5" t="inlineStr">
        <is>
          <t>No</t>
        </is>
      </c>
      <c r="R13" s="5" t="inlineStr">
        <is>
          <t>No</t>
        </is>
      </c>
      <c r="S13" s="5" t="inlineStr">
        <is>
          <t>No</t>
        </is>
      </c>
      <c r="T13" s="5" t="inlineStr">
        <is>
          <t>No</t>
        </is>
      </c>
      <c r="U13" s="5" t="inlineStr">
        <is>
          <t>Yes</t>
        </is>
      </c>
      <c r="V13" s="21">
        <f>SUMPRODUCT(Headcount!$C$5:$C$28*((Headcount!$A$5:$A$28="IT")*($F13="Yes")+(Headcount!$A$5:$A$28="PL")*($G13="Yes")+(Headcount!$A$5:$A$28="DE")*($H13="Yes")+(Headcount!$A$5:$A$28="ES")*($I13="Yes"))*((($E13="All")+(Headcount!$B$5:$B$28=$E13))&gt;0))</f>
        <v/>
      </c>
      <c r="W13" s="16">
        <f>IF(AND($K13="Yes",$L13&lt;&gt;"Yes"),"Prohibited",IF($M13&lt;&gt;"None",IF($N13="Yes","High-risk",IF($O13&lt;&gt;"None","Not high-risk (Art. 6(3))","High-risk")),IF($P13="Yes","Transparency only","Minimal risk")))</f>
        <v/>
      </c>
      <c r="X13" s="4">
        <f>IF(AND($D13="In-house",$W13="High-risk"),"Provider and deployer","Deployer")</f>
        <v/>
      </c>
      <c r="Y13" s="4">
        <f>IF($W13&lt;&gt;"High-risk","",IF($U13="Yes","At its next significant design change","From 2 December 2027"))</f>
        <v/>
      </c>
      <c r="Z13" s="5" t="inlineStr">
        <is>
          <t>Answers employees' questions on leave, payroll and policies from the knowledge base, and hands over to an HR advisor. It decides nothing about anyone, so it is not in Annex III; people must know they are talking to an AI (Article 50(1)).</t>
        </is>
      </c>
    </row>
    <row r="14">
      <c r="A14" s="5" t="inlineStr">
        <is>
          <t>S10</t>
        </is>
      </c>
      <c r="B14" s="20" t="inlineStr">
        <is>
          <t>Learning recommendations</t>
        </is>
      </c>
      <c r="C14" s="5" t="inlineStr">
        <is>
          <t>Learning</t>
        </is>
      </c>
      <c r="D14" s="5" t="inlineStr">
        <is>
          <t>Vendor</t>
        </is>
      </c>
      <c r="E14" s="5" t="inlineStr">
        <is>
          <t>All</t>
        </is>
      </c>
      <c r="F14" s="5" t="inlineStr">
        <is>
          <t>Yes</t>
        </is>
      </c>
      <c r="G14" s="5" t="inlineStr">
        <is>
          <t>Yes</t>
        </is>
      </c>
      <c r="H14" s="5" t="inlineStr">
        <is>
          <t>Yes</t>
        </is>
      </c>
      <c r="I14" s="5" t="inlineStr">
        <is>
          <t>Yes</t>
        </is>
      </c>
      <c r="J14" s="5" t="inlineStr">
        <is>
          <t>No</t>
        </is>
      </c>
      <c r="K14" s="5" t="inlineStr">
        <is>
          <t>No</t>
        </is>
      </c>
      <c r="L14" s="5" t="inlineStr">
        <is>
          <t>No</t>
        </is>
      </c>
      <c r="M14" s="5" t="inlineStr">
        <is>
          <t>None</t>
        </is>
      </c>
      <c r="N14" s="5" t="inlineStr">
        <is>
          <t>No</t>
        </is>
      </c>
      <c r="O14" s="5" t="inlineStr">
        <is>
          <t>None</t>
        </is>
      </c>
      <c r="P14" s="5" t="inlineStr">
        <is>
          <t>No</t>
        </is>
      </c>
      <c r="Q14" s="5" t="inlineStr">
        <is>
          <t>No</t>
        </is>
      </c>
      <c r="R14" s="5" t="inlineStr">
        <is>
          <t>No</t>
        </is>
      </c>
      <c r="S14" s="5" t="inlineStr">
        <is>
          <t>No</t>
        </is>
      </c>
      <c r="T14" s="5" t="inlineStr">
        <is>
          <t>No</t>
        </is>
      </c>
      <c r="U14" s="5" t="inlineStr">
        <is>
          <t>Yes</t>
        </is>
      </c>
      <c r="V14" s="21">
        <f>SUMPRODUCT(Headcount!$C$5:$C$28*((Headcount!$A$5:$A$28="IT")*($F14="Yes")+(Headcount!$A$5:$A$28="PL")*($G14="Yes")+(Headcount!$A$5:$A$28="DE")*($H14="Yes")+(Headcount!$A$5:$A$28="ES")*($I14="Yes"))*((($E14="All")+(Headcount!$B$5:$B$28=$E14))&gt;0))</f>
        <v/>
      </c>
      <c r="W14" s="16">
        <f>IF(AND($K14="Yes",$L14&lt;&gt;"Yes"),"Prohibited",IF($M14&lt;&gt;"None",IF($N14="Yes","High-risk",IF($O14&lt;&gt;"None","Not high-risk (Art. 6(3))","High-risk")),IF($P14="Yes","Transparency only","Minimal risk")))</f>
        <v/>
      </c>
      <c r="X14" s="4">
        <f>IF(AND($D14="In-house",$W14="High-risk"),"Provider and deployer","Deployer")</f>
        <v/>
      </c>
      <c r="Y14" s="4">
        <f>IF($W14&lt;&gt;"High-risk","",IF($U14="Yes","At its next significant design change","From 2 December 2027"))</f>
        <v/>
      </c>
      <c r="Z14" s="5" t="inlineStr">
        <is>
          <t>Suggests courses from role and past courses. Annex III point 3 covers education and vocational training institutions, not an employer's course suggestions; completion has no bearing on promotion or pay in this organisation. If it did, the system would move into Annex III 4(b).</t>
        </is>
      </c>
    </row>
    <row r="15">
      <c r="A15" s="5" t="inlineStr">
        <is>
          <t>S11</t>
        </is>
      </c>
      <c r="B15" s="20" t="inlineStr">
        <is>
          <t>Writing and translation assistant</t>
        </is>
      </c>
      <c r="C15" s="5" t="inlineStr">
        <is>
          <t>HR service</t>
        </is>
      </c>
      <c r="D15" s="5" t="inlineStr">
        <is>
          <t>Vendor</t>
        </is>
      </c>
      <c r="E15" s="5" t="inlineStr">
        <is>
          <t>HR</t>
        </is>
      </c>
      <c r="F15" s="5" t="inlineStr">
        <is>
          <t>Yes</t>
        </is>
      </c>
      <c r="G15" s="5" t="inlineStr">
        <is>
          <t>Yes</t>
        </is>
      </c>
      <c r="H15" s="5" t="inlineStr">
        <is>
          <t>Yes</t>
        </is>
      </c>
      <c r="I15" s="5" t="inlineStr">
        <is>
          <t>Yes</t>
        </is>
      </c>
      <c r="J15" s="5" t="inlineStr">
        <is>
          <t>No</t>
        </is>
      </c>
      <c r="K15" s="5" t="inlineStr">
        <is>
          <t>No</t>
        </is>
      </c>
      <c r="L15" s="5" t="inlineStr">
        <is>
          <t>No</t>
        </is>
      </c>
      <c r="M15" s="5" t="inlineStr">
        <is>
          <t>None</t>
        </is>
      </c>
      <c r="N15" s="5" t="inlineStr">
        <is>
          <t>No</t>
        </is>
      </c>
      <c r="O15" s="5" t="inlineStr">
        <is>
          <t>None</t>
        </is>
      </c>
      <c r="P15" s="5" t="inlineStr">
        <is>
          <t>No</t>
        </is>
      </c>
      <c r="Q15" s="5" t="inlineStr">
        <is>
          <t>No</t>
        </is>
      </c>
      <c r="R15" s="5" t="inlineStr">
        <is>
          <t>No</t>
        </is>
      </c>
      <c r="S15" s="5" t="inlineStr">
        <is>
          <t>No</t>
        </is>
      </c>
      <c r="T15" s="5" t="inlineStr">
        <is>
          <t>No</t>
        </is>
      </c>
      <c r="U15" s="5" t="inlineStr">
        <is>
          <t>Yes</t>
        </is>
      </c>
      <c r="V15" s="21">
        <f>SUMPRODUCT(Headcount!$C$5:$C$28*((Headcount!$A$5:$A$28="IT")*($F15="Yes")+(Headcount!$A$5:$A$28="PL")*($G15="Yes")+(Headcount!$A$5:$A$28="DE")*($H15="Yes")+(Headcount!$A$5:$A$28="ES")*($I15="Yes"))*((($E15="All")+(Headcount!$B$5:$B$28=$E15))&gt;0))</f>
        <v/>
      </c>
      <c r="W15" s="16">
        <f>IF(AND($K15="Yes",$L15&lt;&gt;"Yes"),"Prohibited",IF($M15&lt;&gt;"None",IF($N15="Yes","High-risk",IF($O15&lt;&gt;"None","Not high-risk (Art. 6(3))","High-risk")),IF($P15="Yes","Transparency only","Minimal risk")))</f>
        <v/>
      </c>
      <c r="X15" s="4">
        <f>IF(AND($D15="In-house",$W15="High-risk"),"Provider and deployer","Deployer")</f>
        <v/>
      </c>
      <c r="Y15" s="4">
        <f>IF($W15&lt;&gt;"High-risk","",IF($U15="Yes","At its next significant design change","From 2 December 2027"))</f>
        <v/>
      </c>
      <c r="Z15" s="5" t="inlineStr">
        <is>
          <t>A general-purpose assistant HR staff use to draft and translate letters and policies, reviewed before sending. Minimal risk; the staff who use it are within the AI literacy duty.</t>
        </is>
      </c>
    </row>
    <row r="16">
      <c r="A16" s="5" t="inlineStr">
        <is>
          <t>S12</t>
        </is>
      </c>
      <c r="B16" s="20" t="inlineStr">
        <is>
          <t>Internal mobility matching</t>
        </is>
      </c>
      <c r="C16" s="5" t="inlineStr">
        <is>
          <t>Talent</t>
        </is>
      </c>
      <c r="D16" s="5" t="inlineStr">
        <is>
          <t>Vendor</t>
        </is>
      </c>
      <c r="E16" s="5" t="inlineStr">
        <is>
          <t>All</t>
        </is>
      </c>
      <c r="F16" s="5" t="inlineStr">
        <is>
          <t>Yes</t>
        </is>
      </c>
      <c r="G16" s="5" t="inlineStr">
        <is>
          <t>Yes</t>
        </is>
      </c>
      <c r="H16" s="5" t="inlineStr">
        <is>
          <t>Yes</t>
        </is>
      </c>
      <c r="I16" s="5" t="inlineStr">
        <is>
          <t>Yes</t>
        </is>
      </c>
      <c r="J16" s="5" t="inlineStr">
        <is>
          <t>No</t>
        </is>
      </c>
      <c r="K16" s="5" t="inlineStr">
        <is>
          <t>No</t>
        </is>
      </c>
      <c r="L16" s="5" t="inlineStr">
        <is>
          <t>No</t>
        </is>
      </c>
      <c r="M16" s="5" t="inlineStr">
        <is>
          <t>4(a)</t>
        </is>
      </c>
      <c r="N16" s="5" t="inlineStr">
        <is>
          <t>Yes</t>
        </is>
      </c>
      <c r="O16" s="5" t="inlineStr">
        <is>
          <t>None</t>
        </is>
      </c>
      <c r="P16" s="5" t="inlineStr">
        <is>
          <t>No</t>
        </is>
      </c>
      <c r="Q16" s="5" t="inlineStr">
        <is>
          <t>Yes</t>
        </is>
      </c>
      <c r="R16" s="5" t="inlineStr">
        <is>
          <t>No</t>
        </is>
      </c>
      <c r="S16" s="5" t="inlineStr">
        <is>
          <t>No</t>
        </is>
      </c>
      <c r="T16" s="5" t="inlineStr">
        <is>
          <t>Yes</t>
        </is>
      </c>
      <c r="U16" s="5" t="inlineStr">
        <is>
          <t>Yes</t>
        </is>
      </c>
      <c r="V16" s="21">
        <f>SUMPRODUCT(Headcount!$C$5:$C$28*((Headcount!$A$5:$A$28="IT")*($F16="Yes")+(Headcount!$A$5:$A$28="PL")*($G16="Yes")+(Headcount!$A$5:$A$28="DE")*($H16="Yes")+(Headcount!$A$5:$A$28="ES")*($I16="Yes"))*((($E16="All")+(Headcount!$B$5:$B$28=$E16))&gt;0))</f>
        <v/>
      </c>
      <c r="W16" s="16">
        <f>IF(AND($K16="Yes",$L16&lt;&gt;"Yes"),"Prohibited",IF($M16&lt;&gt;"None",IF($N16="Yes","High-risk",IF($O16&lt;&gt;"None","Not high-risk (Art. 6(3))","High-risk")),IF($P16="Yes","Transparency only","Minimal risk")))</f>
        <v/>
      </c>
      <c r="X16" s="4">
        <f>IF(AND($D16="In-house",$W16="High-risk"),"Provider and deployer","Deployer")</f>
        <v/>
      </c>
      <c r="Y16" s="4">
        <f>IF($W16&lt;&gt;"High-risk","",IF($U16="Yes","At its next significant design change","From 2 December 2027"))</f>
        <v/>
      </c>
      <c r="Z16" s="5" t="inlineStr">
        <is>
          <t>Matches employees to internal vacancies and ranks internal candidates for the hiring manager. Selection is named in Annex III 4(a), and ranking people on their profile is profiling.</t>
        </is>
      </c>
    </row>
  </sheetData>
  <autoFilter ref="A4:Z16"/>
  <conditionalFormatting sqref="W5:W16">
    <cfRule type="cellIs" priority="1" operator="equal" dxfId="0">
      <formula>"Prohibited"</formula>
    </cfRule>
    <cfRule type="cellIs" priority="2" operator="equal" dxfId="1">
      <formula>"High-risk"</formula>
    </cfRule>
    <cfRule type="cellIs" priority="3" operator="equal" dxfId="2">
      <formula>"Not high-risk (Art. 6(3))"</formula>
    </cfRule>
    <cfRule type="cellIs" priority="4" operator="equal" dxfId="3">
      <formula>"Transparency only"</formula>
    </cfRule>
    <cfRule type="cellIs" priority="5" operator="equal" dxfId="4">
      <formula>"Minimal risk"</formula>
    </cfRule>
    <cfRule type="cellIs" priority="6" operator="equal" dxfId="1">
      <formula>"Yes"</formula>
    </cfRule>
    <cfRule type="cellIs" priority="7" operator="equal" dxfId="0">
      <formula>"In force"</formula>
    </cfRule>
  </conditionalFormatting>
  <dataValidations count="4">
    <dataValidation sqref="F5 F6 F7 F8 F9 F10 F11 F12 F13 F14 F15 F16 G5 G6 G7 G8 G9 G10 G11 G12 G13 G14 G15 G16 H5 H6 H7 H8 H9 H10 H11 H12 H13 H14 H15 H16 I5 I6 I7 I8 I9 I10 I11 I12 I13 I14 I15 I16 J5 J6 J7 J8 J9 J10 J11 J12 J13 J14 J15 J16 K5 K6 K7 K8 K9 K10 K11 K12 K13 K14 K15 K16 L5 L6 L7 L8 L9 L10 L11 L12 L13 L14 L15 L16 N5 N6 N7 N8 N9 N10 N11 N12 N13 N14 N15 N16 P5 P6 P7 P8 P9 P10 P11 P12 P13 P14 P15 P16 Q5 Q6 Q7 Q8 Q9 Q10 Q11 Q12 Q13 Q14 Q15 Q16 R5 R6 R7 R8 R9 R10 R11 R12 R13 R14 R15 R16 S5 S6 S7 S8 S9 S10 S11 S12 S13 S14 S15 S16 T5 T6 T7 T8 T9 T10 T11 T12 T13 T14 T15 T16 U5 U6 U7 U8 U9 U10 U11 U12 U13 U14 U15 U16" showDropDown="0" showInputMessage="0" showErrorMessage="0" allowBlank="0" type="list">
      <formula1>"Yes,No"</formula1>
    </dataValidation>
    <dataValidation sqref="D5 D6 D7 D8 D9 D10 D11 D12 D13 D14 D15 D16" showDropDown="0" showInputMessage="0" showErrorMessage="0" allowBlank="0" type="list">
      <formula1>"Vendor,In-house"</formula1>
    </dataValidation>
    <dataValidation sqref="M5 M6 M7 M8 M9 M10 M11 M12 M13 M14 M15 M16" showDropDown="0" showInputMessage="0" showErrorMessage="0" allowBlank="0" type="list">
      <formula1>"None,4(a),4(b)"</formula1>
    </dataValidation>
    <dataValidation sqref="O5 O6 O7 O8 O9 O10 O11 O12 O13 O14 O15 O16" showDropDown="0" showInputMessage="0" showErrorMessage="0" allowBlank="0" type="list">
      <formula1>"None,(a),(b),(c),(d)"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P2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2" t="inlineStr">
        <is>
          <t>Obligations: what each system triggers, and from when</t>
        </is>
      </c>
    </row>
    <row r="2">
      <c r="A2" s="13" t="inlineStr">
        <is>
          <t>Row 5 gives the article. The Timeline sheet puts the obligations in date order.</t>
        </is>
      </c>
    </row>
    <row r="4" ht="96" customHeight="1">
      <c r="A4" s="19" t="inlineStr">
        <is>
          <t>ID</t>
        </is>
      </c>
      <c r="B4" s="19" t="inlineStr">
        <is>
          <t>AI system</t>
        </is>
      </c>
      <c r="C4" s="19" t="inlineStr">
        <is>
          <t>Class</t>
        </is>
      </c>
      <c r="D4" s="19" t="inlineStr">
        <is>
          <t>O01
AI literacy of the staff who operate or use it</t>
        </is>
      </c>
      <c r="E4" s="19" t="inlineStr">
        <is>
          <t>O02
Stop the prohibited use</t>
        </is>
      </c>
      <c r="F4" s="19" t="inlineStr">
        <is>
          <t>O03
People told they are talking to an AI: the supplier's duty, checked by the employer</t>
        </is>
      </c>
      <c r="G4" s="19" t="inlineStr">
        <is>
          <t>O04
Use as instructed, with named human oversight</t>
        </is>
      </c>
      <c r="H4" s="19" t="inlineStr">
        <is>
          <t>O05
Input data relevant and representative</t>
        </is>
      </c>
      <c r="I4" s="19" t="inlineStr">
        <is>
          <t>O06
Monitor; report risks and serious incidents; suspend</t>
        </is>
      </c>
      <c r="J4" s="19" t="inlineStr">
        <is>
          <t>O07
Keep the logs for at least six months</t>
        </is>
      </c>
      <c r="K4" s="19" t="inlineStr">
        <is>
          <t>O08
Tell workers' representatives and affected workers before use</t>
        </is>
      </c>
      <c r="L4" s="19" t="inlineStr">
        <is>
          <t>O09
Data protection impact assessment built on the provider's information</t>
        </is>
      </c>
      <c r="M4" s="19" t="inlineStr">
        <is>
          <t>O10
Tell the people decisions are made about</t>
        </is>
      </c>
      <c r="N4" s="19" t="inlineStr">
        <is>
          <t>O11
Explain a decision on request</t>
        </is>
      </c>
      <c r="O4" s="19" t="inlineStr">
        <is>
          <t>O12
Provider duties for a system built in-house</t>
        </is>
      </c>
      <c r="P4" s="19" t="inlineStr">
        <is>
          <t>O13
Not-high-risk assessment documented</t>
        </is>
      </c>
    </row>
    <row r="5" ht="40" customHeight="1">
      <c r="D5" s="22" t="inlineStr">
        <is>
          <t>Art. 4</t>
        </is>
      </c>
      <c r="E5" s="22" t="inlineStr">
        <is>
          <t>Art. 5(1)(f)</t>
        </is>
      </c>
      <c r="F5" s="22" t="inlineStr">
        <is>
          <t>Art. 50(1)</t>
        </is>
      </c>
      <c r="G5" s="22" t="inlineStr">
        <is>
          <t>Art. 26(1)-(2)</t>
        </is>
      </c>
      <c r="H5" s="22" t="inlineStr">
        <is>
          <t>Art. 26(4)</t>
        </is>
      </c>
      <c r="I5" s="22" t="inlineStr">
        <is>
          <t>Art. 26(5)</t>
        </is>
      </c>
      <c r="J5" s="22" t="inlineStr">
        <is>
          <t>Art. 26(6)</t>
        </is>
      </c>
      <c r="K5" s="22" t="inlineStr">
        <is>
          <t>Art. 26(7)</t>
        </is>
      </c>
      <c r="L5" s="22" t="inlineStr">
        <is>
          <t>Art. 26(9); GDPR Art. 35</t>
        </is>
      </c>
      <c r="M5" s="22" t="inlineStr">
        <is>
          <t>Art. 26(11)</t>
        </is>
      </c>
      <c r="N5" s="22" t="inlineStr">
        <is>
          <t>Art. 86</t>
        </is>
      </c>
      <c r="O5" s="22" t="inlineStr">
        <is>
          <t>Art. 3(3), 16</t>
        </is>
      </c>
      <c r="P5" s="22" t="inlineStr">
        <is>
          <t>Art. 6(4)</t>
        </is>
      </c>
    </row>
    <row r="6">
      <c r="A6" s="6">
        <f>Register!A5</f>
        <v/>
      </c>
      <c r="B6" s="6">
        <f>Register!B5</f>
        <v/>
      </c>
      <c r="C6" s="6">
        <f>Register!$W$5</f>
        <v/>
      </c>
      <c r="D6" s="23">
        <f>IF(Register!$W$5&lt;&gt;"Prohibited","Yes","")</f>
        <v/>
      </c>
      <c r="E6" s="23">
        <f>IF(Register!$W$5="Prohibited","Yes","")</f>
        <v/>
      </c>
      <c r="F6" s="23">
        <f>IF(AND(Register!$P$5="Yes",Register!$W$5&lt;&gt;"Prohibited"),"Yes","")</f>
        <v/>
      </c>
      <c r="G6" s="23">
        <f>IF(Register!$W$5="High-risk","Yes","")</f>
        <v/>
      </c>
      <c r="H6" s="23">
        <f>IF(AND(Register!$W$5="High-risk",Register!$T$5="Yes"),"Yes","")</f>
        <v/>
      </c>
      <c r="I6" s="23">
        <f>IF(Register!$W$5="High-risk","Yes","")</f>
        <v/>
      </c>
      <c r="J6" s="23">
        <f>IF(Register!$W$5="High-risk","Yes","")</f>
        <v/>
      </c>
      <c r="K6" s="23">
        <f>IF(AND(Register!$W$5="High-risk",Register!$J$5&lt;&gt;"Yes"),"Yes","")</f>
        <v/>
      </c>
      <c r="L6" s="23">
        <f>IF(Register!$W$5="High-risk","Yes","")</f>
        <v/>
      </c>
      <c r="M6" s="23">
        <f>IF(AND(Register!$W$5="High-risk",Register!$Q$5="Yes"),"Yes","")</f>
        <v/>
      </c>
      <c r="N6" s="23">
        <f>IF(AND(Register!$W$5="High-risk",Register!$Q$5="Yes"),"Yes","")</f>
        <v/>
      </c>
      <c r="O6" s="23">
        <f>IF(AND(Register!$W$5="High-risk",Register!$D$5="In-house"),"Yes","")</f>
        <v/>
      </c>
      <c r="P6" s="23">
        <f>IF(Register!$W$5="Not high-risk (Art. 6(3))","Yes","")</f>
        <v/>
      </c>
    </row>
    <row r="7">
      <c r="A7" s="6">
        <f>Register!A6</f>
        <v/>
      </c>
      <c r="B7" s="6">
        <f>Register!B6</f>
        <v/>
      </c>
      <c r="C7" s="6">
        <f>Register!$W$6</f>
        <v/>
      </c>
      <c r="D7" s="23">
        <f>IF(Register!$W$6&lt;&gt;"Prohibited","Yes","")</f>
        <v/>
      </c>
      <c r="E7" s="23">
        <f>IF(Register!$W$6="Prohibited","Yes","")</f>
        <v/>
      </c>
      <c r="F7" s="23">
        <f>IF(AND(Register!$P$6="Yes",Register!$W$6&lt;&gt;"Prohibited"),"Yes","")</f>
        <v/>
      </c>
      <c r="G7" s="23">
        <f>IF(Register!$W$6="High-risk","Yes","")</f>
        <v/>
      </c>
      <c r="H7" s="23">
        <f>IF(AND(Register!$W$6="High-risk",Register!$T$6="Yes"),"Yes","")</f>
        <v/>
      </c>
      <c r="I7" s="23">
        <f>IF(Register!$W$6="High-risk","Yes","")</f>
        <v/>
      </c>
      <c r="J7" s="23">
        <f>IF(Register!$W$6="High-risk","Yes","")</f>
        <v/>
      </c>
      <c r="K7" s="23">
        <f>IF(AND(Register!$W$6="High-risk",Register!$J$6&lt;&gt;"Yes"),"Yes","")</f>
        <v/>
      </c>
      <c r="L7" s="23">
        <f>IF(Register!$W$6="High-risk","Yes","")</f>
        <v/>
      </c>
      <c r="M7" s="23">
        <f>IF(AND(Register!$W$6="High-risk",Register!$Q$6="Yes"),"Yes","")</f>
        <v/>
      </c>
      <c r="N7" s="23">
        <f>IF(AND(Register!$W$6="High-risk",Register!$Q$6="Yes"),"Yes","")</f>
        <v/>
      </c>
      <c r="O7" s="23">
        <f>IF(AND(Register!$W$6="High-risk",Register!$D$6="In-house"),"Yes","")</f>
        <v/>
      </c>
      <c r="P7" s="23">
        <f>IF(Register!$W$6="Not high-risk (Art. 6(3))","Yes","")</f>
        <v/>
      </c>
    </row>
    <row r="8">
      <c r="A8" s="6">
        <f>Register!A7</f>
        <v/>
      </c>
      <c r="B8" s="6">
        <f>Register!B7</f>
        <v/>
      </c>
      <c r="C8" s="6">
        <f>Register!$W$7</f>
        <v/>
      </c>
      <c r="D8" s="23">
        <f>IF(Register!$W$7&lt;&gt;"Prohibited","Yes","")</f>
        <v/>
      </c>
      <c r="E8" s="23">
        <f>IF(Register!$W$7="Prohibited","Yes","")</f>
        <v/>
      </c>
      <c r="F8" s="23">
        <f>IF(AND(Register!$P$7="Yes",Register!$W$7&lt;&gt;"Prohibited"),"Yes","")</f>
        <v/>
      </c>
      <c r="G8" s="23">
        <f>IF(Register!$W$7="High-risk","Yes","")</f>
        <v/>
      </c>
      <c r="H8" s="23">
        <f>IF(AND(Register!$W$7="High-risk",Register!$T$7="Yes"),"Yes","")</f>
        <v/>
      </c>
      <c r="I8" s="23">
        <f>IF(Register!$W$7="High-risk","Yes","")</f>
        <v/>
      </c>
      <c r="J8" s="23">
        <f>IF(Register!$W$7="High-risk","Yes","")</f>
        <v/>
      </c>
      <c r="K8" s="23">
        <f>IF(AND(Register!$W$7="High-risk",Register!$J$7&lt;&gt;"Yes"),"Yes","")</f>
        <v/>
      </c>
      <c r="L8" s="23">
        <f>IF(Register!$W$7="High-risk","Yes","")</f>
        <v/>
      </c>
      <c r="M8" s="23">
        <f>IF(AND(Register!$W$7="High-risk",Register!$Q$7="Yes"),"Yes","")</f>
        <v/>
      </c>
      <c r="N8" s="23">
        <f>IF(AND(Register!$W$7="High-risk",Register!$Q$7="Yes"),"Yes","")</f>
        <v/>
      </c>
      <c r="O8" s="23">
        <f>IF(AND(Register!$W$7="High-risk",Register!$D$7="In-house"),"Yes","")</f>
        <v/>
      </c>
      <c r="P8" s="23">
        <f>IF(Register!$W$7="Not high-risk (Art. 6(3))","Yes","")</f>
        <v/>
      </c>
    </row>
    <row r="9">
      <c r="A9" s="6">
        <f>Register!A8</f>
        <v/>
      </c>
      <c r="B9" s="6">
        <f>Register!B8</f>
        <v/>
      </c>
      <c r="C9" s="6">
        <f>Register!$W$8</f>
        <v/>
      </c>
      <c r="D9" s="23">
        <f>IF(Register!$W$8&lt;&gt;"Prohibited","Yes","")</f>
        <v/>
      </c>
      <c r="E9" s="23">
        <f>IF(Register!$W$8="Prohibited","Yes","")</f>
        <v/>
      </c>
      <c r="F9" s="23">
        <f>IF(AND(Register!$P$8="Yes",Register!$W$8&lt;&gt;"Prohibited"),"Yes","")</f>
        <v/>
      </c>
      <c r="G9" s="23">
        <f>IF(Register!$W$8="High-risk","Yes","")</f>
        <v/>
      </c>
      <c r="H9" s="23">
        <f>IF(AND(Register!$W$8="High-risk",Register!$T$8="Yes"),"Yes","")</f>
        <v/>
      </c>
      <c r="I9" s="23">
        <f>IF(Register!$W$8="High-risk","Yes","")</f>
        <v/>
      </c>
      <c r="J9" s="23">
        <f>IF(Register!$W$8="High-risk","Yes","")</f>
        <v/>
      </c>
      <c r="K9" s="23">
        <f>IF(AND(Register!$W$8="High-risk",Register!$J$8&lt;&gt;"Yes"),"Yes","")</f>
        <v/>
      </c>
      <c r="L9" s="23">
        <f>IF(Register!$W$8="High-risk","Yes","")</f>
        <v/>
      </c>
      <c r="M9" s="23">
        <f>IF(AND(Register!$W$8="High-risk",Register!$Q$8="Yes"),"Yes","")</f>
        <v/>
      </c>
      <c r="N9" s="23">
        <f>IF(AND(Register!$W$8="High-risk",Register!$Q$8="Yes"),"Yes","")</f>
        <v/>
      </c>
      <c r="O9" s="23">
        <f>IF(AND(Register!$W$8="High-risk",Register!$D$8="In-house"),"Yes","")</f>
        <v/>
      </c>
      <c r="P9" s="23">
        <f>IF(Register!$W$8="Not high-risk (Art. 6(3))","Yes","")</f>
        <v/>
      </c>
    </row>
    <row r="10">
      <c r="A10" s="6">
        <f>Register!A9</f>
        <v/>
      </c>
      <c r="B10" s="6">
        <f>Register!B9</f>
        <v/>
      </c>
      <c r="C10" s="6">
        <f>Register!$W$9</f>
        <v/>
      </c>
      <c r="D10" s="23">
        <f>IF(Register!$W$9&lt;&gt;"Prohibited","Yes","")</f>
        <v/>
      </c>
      <c r="E10" s="23">
        <f>IF(Register!$W$9="Prohibited","Yes","")</f>
        <v/>
      </c>
      <c r="F10" s="23">
        <f>IF(AND(Register!$P$9="Yes",Register!$W$9&lt;&gt;"Prohibited"),"Yes","")</f>
        <v/>
      </c>
      <c r="G10" s="23">
        <f>IF(Register!$W$9="High-risk","Yes","")</f>
        <v/>
      </c>
      <c r="H10" s="23">
        <f>IF(AND(Register!$W$9="High-risk",Register!$T$9="Yes"),"Yes","")</f>
        <v/>
      </c>
      <c r="I10" s="23">
        <f>IF(Register!$W$9="High-risk","Yes","")</f>
        <v/>
      </c>
      <c r="J10" s="23">
        <f>IF(Register!$W$9="High-risk","Yes","")</f>
        <v/>
      </c>
      <c r="K10" s="23">
        <f>IF(AND(Register!$W$9="High-risk",Register!$J$9&lt;&gt;"Yes"),"Yes","")</f>
        <v/>
      </c>
      <c r="L10" s="23">
        <f>IF(Register!$W$9="High-risk","Yes","")</f>
        <v/>
      </c>
      <c r="M10" s="23">
        <f>IF(AND(Register!$W$9="High-risk",Register!$Q$9="Yes"),"Yes","")</f>
        <v/>
      </c>
      <c r="N10" s="23">
        <f>IF(AND(Register!$W$9="High-risk",Register!$Q$9="Yes"),"Yes","")</f>
        <v/>
      </c>
      <c r="O10" s="23">
        <f>IF(AND(Register!$W$9="High-risk",Register!$D$9="In-house"),"Yes","")</f>
        <v/>
      </c>
      <c r="P10" s="23">
        <f>IF(Register!$W$9="Not high-risk (Art. 6(3))","Yes","")</f>
        <v/>
      </c>
    </row>
    <row r="11">
      <c r="A11" s="6">
        <f>Register!A10</f>
        <v/>
      </c>
      <c r="B11" s="6">
        <f>Register!B10</f>
        <v/>
      </c>
      <c r="C11" s="6">
        <f>Register!$W$10</f>
        <v/>
      </c>
      <c r="D11" s="23">
        <f>IF(Register!$W$10&lt;&gt;"Prohibited","Yes","")</f>
        <v/>
      </c>
      <c r="E11" s="23">
        <f>IF(Register!$W$10="Prohibited","Yes","")</f>
        <v/>
      </c>
      <c r="F11" s="23">
        <f>IF(AND(Register!$P$10="Yes",Register!$W$10&lt;&gt;"Prohibited"),"Yes","")</f>
        <v/>
      </c>
      <c r="G11" s="23">
        <f>IF(Register!$W$10="High-risk","Yes","")</f>
        <v/>
      </c>
      <c r="H11" s="23">
        <f>IF(AND(Register!$W$10="High-risk",Register!$T$10="Yes"),"Yes","")</f>
        <v/>
      </c>
      <c r="I11" s="23">
        <f>IF(Register!$W$10="High-risk","Yes","")</f>
        <v/>
      </c>
      <c r="J11" s="23">
        <f>IF(Register!$W$10="High-risk","Yes","")</f>
        <v/>
      </c>
      <c r="K11" s="23">
        <f>IF(AND(Register!$W$10="High-risk",Register!$J$10&lt;&gt;"Yes"),"Yes","")</f>
        <v/>
      </c>
      <c r="L11" s="23">
        <f>IF(Register!$W$10="High-risk","Yes","")</f>
        <v/>
      </c>
      <c r="M11" s="23">
        <f>IF(AND(Register!$W$10="High-risk",Register!$Q$10="Yes"),"Yes","")</f>
        <v/>
      </c>
      <c r="N11" s="23">
        <f>IF(AND(Register!$W$10="High-risk",Register!$Q$10="Yes"),"Yes","")</f>
        <v/>
      </c>
      <c r="O11" s="23">
        <f>IF(AND(Register!$W$10="High-risk",Register!$D$10="In-house"),"Yes","")</f>
        <v/>
      </c>
      <c r="P11" s="23">
        <f>IF(Register!$W$10="Not high-risk (Art. 6(3))","Yes","")</f>
        <v/>
      </c>
    </row>
    <row r="12">
      <c r="A12" s="6">
        <f>Register!A11</f>
        <v/>
      </c>
      <c r="B12" s="6">
        <f>Register!B11</f>
        <v/>
      </c>
      <c r="C12" s="6">
        <f>Register!$W$11</f>
        <v/>
      </c>
      <c r="D12" s="23">
        <f>IF(Register!$W$11&lt;&gt;"Prohibited","Yes","")</f>
        <v/>
      </c>
      <c r="E12" s="23">
        <f>IF(Register!$W$11="Prohibited","Yes","")</f>
        <v/>
      </c>
      <c r="F12" s="23">
        <f>IF(AND(Register!$P$11="Yes",Register!$W$11&lt;&gt;"Prohibited"),"Yes","")</f>
        <v/>
      </c>
      <c r="G12" s="23">
        <f>IF(Register!$W$11="High-risk","Yes","")</f>
        <v/>
      </c>
      <c r="H12" s="23">
        <f>IF(AND(Register!$W$11="High-risk",Register!$T$11="Yes"),"Yes","")</f>
        <v/>
      </c>
      <c r="I12" s="23">
        <f>IF(Register!$W$11="High-risk","Yes","")</f>
        <v/>
      </c>
      <c r="J12" s="23">
        <f>IF(Register!$W$11="High-risk","Yes","")</f>
        <v/>
      </c>
      <c r="K12" s="23">
        <f>IF(AND(Register!$W$11="High-risk",Register!$J$11&lt;&gt;"Yes"),"Yes","")</f>
        <v/>
      </c>
      <c r="L12" s="23">
        <f>IF(Register!$W$11="High-risk","Yes","")</f>
        <v/>
      </c>
      <c r="M12" s="23">
        <f>IF(AND(Register!$W$11="High-risk",Register!$Q$11="Yes"),"Yes","")</f>
        <v/>
      </c>
      <c r="N12" s="23">
        <f>IF(AND(Register!$W$11="High-risk",Register!$Q$11="Yes"),"Yes","")</f>
        <v/>
      </c>
      <c r="O12" s="23">
        <f>IF(AND(Register!$W$11="High-risk",Register!$D$11="In-house"),"Yes","")</f>
        <v/>
      </c>
      <c r="P12" s="23">
        <f>IF(Register!$W$11="Not high-risk (Art. 6(3))","Yes","")</f>
        <v/>
      </c>
    </row>
    <row r="13">
      <c r="A13" s="6">
        <f>Register!A12</f>
        <v/>
      </c>
      <c r="B13" s="6">
        <f>Register!B12</f>
        <v/>
      </c>
      <c r="C13" s="6">
        <f>Register!$W$12</f>
        <v/>
      </c>
      <c r="D13" s="23">
        <f>IF(Register!$W$12&lt;&gt;"Prohibited","Yes","")</f>
        <v/>
      </c>
      <c r="E13" s="23">
        <f>IF(Register!$W$12="Prohibited","Yes","")</f>
        <v/>
      </c>
      <c r="F13" s="23">
        <f>IF(AND(Register!$P$12="Yes",Register!$W$12&lt;&gt;"Prohibited"),"Yes","")</f>
        <v/>
      </c>
      <c r="G13" s="23">
        <f>IF(Register!$W$12="High-risk","Yes","")</f>
        <v/>
      </c>
      <c r="H13" s="23">
        <f>IF(AND(Register!$W$12="High-risk",Register!$T$12="Yes"),"Yes","")</f>
        <v/>
      </c>
      <c r="I13" s="23">
        <f>IF(Register!$W$12="High-risk","Yes","")</f>
        <v/>
      </c>
      <c r="J13" s="23">
        <f>IF(Register!$W$12="High-risk","Yes","")</f>
        <v/>
      </c>
      <c r="K13" s="23">
        <f>IF(AND(Register!$W$12="High-risk",Register!$J$12&lt;&gt;"Yes"),"Yes","")</f>
        <v/>
      </c>
      <c r="L13" s="23">
        <f>IF(Register!$W$12="High-risk","Yes","")</f>
        <v/>
      </c>
      <c r="M13" s="23">
        <f>IF(AND(Register!$W$12="High-risk",Register!$Q$12="Yes"),"Yes","")</f>
        <v/>
      </c>
      <c r="N13" s="23">
        <f>IF(AND(Register!$W$12="High-risk",Register!$Q$12="Yes"),"Yes","")</f>
        <v/>
      </c>
      <c r="O13" s="23">
        <f>IF(AND(Register!$W$12="High-risk",Register!$D$12="In-house"),"Yes","")</f>
        <v/>
      </c>
      <c r="P13" s="23">
        <f>IF(Register!$W$12="Not high-risk (Art. 6(3))","Yes","")</f>
        <v/>
      </c>
    </row>
    <row r="14">
      <c r="A14" s="6">
        <f>Register!A13</f>
        <v/>
      </c>
      <c r="B14" s="6">
        <f>Register!B13</f>
        <v/>
      </c>
      <c r="C14" s="6">
        <f>Register!$W$13</f>
        <v/>
      </c>
      <c r="D14" s="23">
        <f>IF(Register!$W$13&lt;&gt;"Prohibited","Yes","")</f>
        <v/>
      </c>
      <c r="E14" s="23">
        <f>IF(Register!$W$13="Prohibited","Yes","")</f>
        <v/>
      </c>
      <c r="F14" s="23">
        <f>IF(AND(Register!$P$13="Yes",Register!$W$13&lt;&gt;"Prohibited"),"Yes","")</f>
        <v/>
      </c>
      <c r="G14" s="23">
        <f>IF(Register!$W$13="High-risk","Yes","")</f>
        <v/>
      </c>
      <c r="H14" s="23">
        <f>IF(AND(Register!$W$13="High-risk",Register!$T$13="Yes"),"Yes","")</f>
        <v/>
      </c>
      <c r="I14" s="23">
        <f>IF(Register!$W$13="High-risk","Yes","")</f>
        <v/>
      </c>
      <c r="J14" s="23">
        <f>IF(Register!$W$13="High-risk","Yes","")</f>
        <v/>
      </c>
      <c r="K14" s="23">
        <f>IF(AND(Register!$W$13="High-risk",Register!$J$13&lt;&gt;"Yes"),"Yes","")</f>
        <v/>
      </c>
      <c r="L14" s="23">
        <f>IF(Register!$W$13="High-risk","Yes","")</f>
        <v/>
      </c>
      <c r="M14" s="23">
        <f>IF(AND(Register!$W$13="High-risk",Register!$Q$13="Yes"),"Yes","")</f>
        <v/>
      </c>
      <c r="N14" s="23">
        <f>IF(AND(Register!$W$13="High-risk",Register!$Q$13="Yes"),"Yes","")</f>
        <v/>
      </c>
      <c r="O14" s="23">
        <f>IF(AND(Register!$W$13="High-risk",Register!$D$13="In-house"),"Yes","")</f>
        <v/>
      </c>
      <c r="P14" s="23">
        <f>IF(Register!$W$13="Not high-risk (Art. 6(3))","Yes","")</f>
        <v/>
      </c>
    </row>
    <row r="15">
      <c r="A15" s="6">
        <f>Register!A14</f>
        <v/>
      </c>
      <c r="B15" s="6">
        <f>Register!B14</f>
        <v/>
      </c>
      <c r="C15" s="6">
        <f>Register!$W$14</f>
        <v/>
      </c>
      <c r="D15" s="23">
        <f>IF(Register!$W$14&lt;&gt;"Prohibited","Yes","")</f>
        <v/>
      </c>
      <c r="E15" s="23">
        <f>IF(Register!$W$14="Prohibited","Yes","")</f>
        <v/>
      </c>
      <c r="F15" s="23">
        <f>IF(AND(Register!$P$14="Yes",Register!$W$14&lt;&gt;"Prohibited"),"Yes","")</f>
        <v/>
      </c>
      <c r="G15" s="23">
        <f>IF(Register!$W$14="High-risk","Yes","")</f>
        <v/>
      </c>
      <c r="H15" s="23">
        <f>IF(AND(Register!$W$14="High-risk",Register!$T$14="Yes"),"Yes","")</f>
        <v/>
      </c>
      <c r="I15" s="23">
        <f>IF(Register!$W$14="High-risk","Yes","")</f>
        <v/>
      </c>
      <c r="J15" s="23">
        <f>IF(Register!$W$14="High-risk","Yes","")</f>
        <v/>
      </c>
      <c r="K15" s="23">
        <f>IF(AND(Register!$W$14="High-risk",Register!$J$14&lt;&gt;"Yes"),"Yes","")</f>
        <v/>
      </c>
      <c r="L15" s="23">
        <f>IF(Register!$W$14="High-risk","Yes","")</f>
        <v/>
      </c>
      <c r="M15" s="23">
        <f>IF(AND(Register!$W$14="High-risk",Register!$Q$14="Yes"),"Yes","")</f>
        <v/>
      </c>
      <c r="N15" s="23">
        <f>IF(AND(Register!$W$14="High-risk",Register!$Q$14="Yes"),"Yes","")</f>
        <v/>
      </c>
      <c r="O15" s="23">
        <f>IF(AND(Register!$W$14="High-risk",Register!$D$14="In-house"),"Yes","")</f>
        <v/>
      </c>
      <c r="P15" s="23">
        <f>IF(Register!$W$14="Not high-risk (Art. 6(3))","Yes","")</f>
        <v/>
      </c>
    </row>
    <row r="16">
      <c r="A16" s="6">
        <f>Register!A15</f>
        <v/>
      </c>
      <c r="B16" s="6">
        <f>Register!B15</f>
        <v/>
      </c>
      <c r="C16" s="6">
        <f>Register!$W$15</f>
        <v/>
      </c>
      <c r="D16" s="23">
        <f>IF(Register!$W$15&lt;&gt;"Prohibited","Yes","")</f>
        <v/>
      </c>
      <c r="E16" s="23">
        <f>IF(Register!$W$15="Prohibited","Yes","")</f>
        <v/>
      </c>
      <c r="F16" s="23">
        <f>IF(AND(Register!$P$15="Yes",Register!$W$15&lt;&gt;"Prohibited"),"Yes","")</f>
        <v/>
      </c>
      <c r="G16" s="23">
        <f>IF(Register!$W$15="High-risk","Yes","")</f>
        <v/>
      </c>
      <c r="H16" s="23">
        <f>IF(AND(Register!$W$15="High-risk",Register!$T$15="Yes"),"Yes","")</f>
        <v/>
      </c>
      <c r="I16" s="23">
        <f>IF(Register!$W$15="High-risk","Yes","")</f>
        <v/>
      </c>
      <c r="J16" s="23">
        <f>IF(Register!$W$15="High-risk","Yes","")</f>
        <v/>
      </c>
      <c r="K16" s="23">
        <f>IF(AND(Register!$W$15="High-risk",Register!$J$15&lt;&gt;"Yes"),"Yes","")</f>
        <v/>
      </c>
      <c r="L16" s="23">
        <f>IF(Register!$W$15="High-risk","Yes","")</f>
        <v/>
      </c>
      <c r="M16" s="23">
        <f>IF(AND(Register!$W$15="High-risk",Register!$Q$15="Yes"),"Yes","")</f>
        <v/>
      </c>
      <c r="N16" s="23">
        <f>IF(AND(Register!$W$15="High-risk",Register!$Q$15="Yes"),"Yes","")</f>
        <v/>
      </c>
      <c r="O16" s="23">
        <f>IF(AND(Register!$W$15="High-risk",Register!$D$15="In-house"),"Yes","")</f>
        <v/>
      </c>
      <c r="P16" s="23">
        <f>IF(Register!$W$15="Not high-risk (Art. 6(3))","Yes","")</f>
        <v/>
      </c>
    </row>
    <row r="17">
      <c r="A17" s="6">
        <f>Register!A16</f>
        <v/>
      </c>
      <c r="B17" s="6">
        <f>Register!B16</f>
        <v/>
      </c>
      <c r="C17" s="6">
        <f>Register!$W$16</f>
        <v/>
      </c>
      <c r="D17" s="23">
        <f>IF(Register!$W$16&lt;&gt;"Prohibited","Yes","")</f>
        <v/>
      </c>
      <c r="E17" s="23">
        <f>IF(Register!$W$16="Prohibited","Yes","")</f>
        <v/>
      </c>
      <c r="F17" s="23">
        <f>IF(AND(Register!$P$16="Yes",Register!$W$16&lt;&gt;"Prohibited"),"Yes","")</f>
        <v/>
      </c>
      <c r="G17" s="23">
        <f>IF(Register!$W$16="High-risk","Yes","")</f>
        <v/>
      </c>
      <c r="H17" s="23">
        <f>IF(AND(Register!$W$16="High-risk",Register!$T$16="Yes"),"Yes","")</f>
        <v/>
      </c>
      <c r="I17" s="23">
        <f>IF(Register!$W$16="High-risk","Yes","")</f>
        <v/>
      </c>
      <c r="J17" s="23">
        <f>IF(Register!$W$16="High-risk","Yes","")</f>
        <v/>
      </c>
      <c r="K17" s="23">
        <f>IF(AND(Register!$W$16="High-risk",Register!$J$16&lt;&gt;"Yes"),"Yes","")</f>
        <v/>
      </c>
      <c r="L17" s="23">
        <f>IF(Register!$W$16="High-risk","Yes","")</f>
        <v/>
      </c>
      <c r="M17" s="23">
        <f>IF(AND(Register!$W$16="High-risk",Register!$Q$16="Yes"),"Yes","")</f>
        <v/>
      </c>
      <c r="N17" s="23">
        <f>IF(AND(Register!$W$16="High-risk",Register!$Q$16="Yes"),"Yes","")</f>
        <v/>
      </c>
      <c r="O17" s="23">
        <f>IF(AND(Register!$W$16="High-risk",Register!$D$16="In-house"),"Yes","")</f>
        <v/>
      </c>
      <c r="P17" s="23">
        <f>IF(Register!$W$16="Not high-risk (Art. 6(3))","Yes","")</f>
        <v/>
      </c>
    </row>
    <row r="18">
      <c r="B18" s="16" t="inlineStr">
        <is>
          <t>Systems</t>
        </is>
      </c>
      <c r="D18" s="14">
        <f>COUNTIF(D6:D17,"Yes")</f>
        <v/>
      </c>
      <c r="E18" s="14">
        <f>COUNTIF(E6:E17,"Yes")</f>
        <v/>
      </c>
      <c r="F18" s="14">
        <f>COUNTIF(F6:F17,"Yes")</f>
        <v/>
      </c>
      <c r="G18" s="14">
        <f>COUNTIF(G6:G17,"Yes")</f>
        <v/>
      </c>
      <c r="H18" s="14">
        <f>COUNTIF(H6:H17,"Yes")</f>
        <v/>
      </c>
      <c r="I18" s="14">
        <f>COUNTIF(I6:I17,"Yes")</f>
        <v/>
      </c>
      <c r="J18" s="14">
        <f>COUNTIF(J6:J17,"Yes")</f>
        <v/>
      </c>
      <c r="K18" s="14">
        <f>COUNTIF(K6:K17,"Yes")</f>
        <v/>
      </c>
      <c r="L18" s="14">
        <f>COUNTIF(L6:L17,"Yes")</f>
        <v/>
      </c>
      <c r="M18" s="14">
        <f>COUNTIF(M6:M17,"Yes")</f>
        <v/>
      </c>
      <c r="N18" s="14">
        <f>COUNTIF(N6:N17,"Yes")</f>
        <v/>
      </c>
      <c r="O18" s="14">
        <f>COUNTIF(O6:O17,"Yes")</f>
        <v/>
      </c>
      <c r="P18" s="14">
        <f>COUNTIF(P6:P17,"Yes")</f>
        <v/>
      </c>
    </row>
    <row r="20">
      <c r="B20" s="16" t="inlineStr">
        <is>
          <t>Considered and not applicable</t>
        </is>
      </c>
    </row>
    <row r="21">
      <c r="B21" s="4" t="inlineStr">
        <is>
          <t>Fundamental rights impact assessment</t>
        </is>
      </c>
      <c r="C21" s="4" t="inlineStr">
        <is>
          <t>Art. 27</t>
        </is>
      </c>
      <c r="D21" s="13" t="inlineStr">
        <is>
          <t>Owed by public bodies, private entities providing public services, and deployers of credit and insurance systems (Annex III 5(b)-(c)). A private employer using HR systems is none of these.</t>
        </is>
      </c>
    </row>
    <row r="22">
      <c r="B22" s="4" t="inlineStr">
        <is>
          <t>Registration of the use in the EU database</t>
        </is>
      </c>
      <c r="C22" s="4" t="inlineStr">
        <is>
          <t>Art. 26(8), 49(3)</t>
        </is>
      </c>
      <c r="D22" s="13" t="inlineStr">
        <is>
          <t>Owed by deployers that are public authorities. A provider registers its own systems (Art. 49(1)), which here means the in-house attrition model.</t>
        </is>
      </c>
    </row>
    <row r="23">
      <c r="B23" s="4" t="inlineStr">
        <is>
          <t>Annex III point 3, education and vocational training</t>
        </is>
      </c>
      <c r="C23" s="4" t="inlineStr">
        <is>
          <t>Annex III, 3</t>
        </is>
      </c>
      <c r="D23" s="13" t="inlineStr">
        <is>
          <t>Covers education and vocational training institutions; an employer's course suggestions that do not feed promotion or pay are not in it.</t>
        </is>
      </c>
    </row>
  </sheetData>
  <conditionalFormatting sqref="C6:P17">
    <cfRule type="cellIs" priority="1" operator="equal" dxfId="0">
      <formula>"Prohibited"</formula>
    </cfRule>
    <cfRule type="cellIs" priority="2" operator="equal" dxfId="1">
      <formula>"High-risk"</formula>
    </cfRule>
    <cfRule type="cellIs" priority="3" operator="equal" dxfId="2">
      <formula>"Not high-risk (Art. 6(3))"</formula>
    </cfRule>
    <cfRule type="cellIs" priority="4" operator="equal" dxfId="3">
      <formula>"Transparency only"</formula>
    </cfRule>
    <cfRule type="cellIs" priority="5" operator="equal" dxfId="4">
      <formula>"Minimal risk"</formula>
    </cfRule>
    <cfRule type="cellIs" priority="6" operator="equal" dxfId="1">
      <formula>"Yes"</formula>
    </cfRule>
    <cfRule type="cellIs" priority="7" operator="equal" dxfId="0">
      <formula>"In force"</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K2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2" t="inlineStr">
        <is>
          <t>Telling the workers: the national rules each system triggers</t>
        </is>
      </c>
    </row>
    <row r="2">
      <c r="A2" s="13" t="inlineStr">
        <is>
          <t>Row 5 gives the source. Under the AI Act itself (Art. 26(7)), see obligation O08 on the Obligations sheet.</t>
        </is>
      </c>
    </row>
    <row r="4" ht="96" customHeight="1">
      <c r="A4" s="19" t="inlineStr">
        <is>
          <t>ID</t>
        </is>
      </c>
      <c r="B4" s="19" t="inlineStr">
        <is>
          <t>AI system</t>
        </is>
      </c>
      <c r="C4" s="19" t="inlineStr">
        <is>
          <t>Class</t>
        </is>
      </c>
      <c r="D4" s="19" t="inlineStr">
        <is>
          <t>W-IT1
IT</t>
        </is>
      </c>
      <c r="E4" s="19" t="inlineStr">
        <is>
          <t>W-IT2
IT</t>
        </is>
      </c>
      <c r="F4" s="19" t="inlineStr">
        <is>
          <t>W-DE1
DE</t>
        </is>
      </c>
      <c r="G4" s="19" t="inlineStr">
        <is>
          <t>W-DE2
DE</t>
        </is>
      </c>
      <c r="H4" s="19" t="inlineStr">
        <is>
          <t>W-DE3
DE</t>
        </is>
      </c>
      <c r="I4" s="19" t="inlineStr">
        <is>
          <t>W-DE4
DE</t>
        </is>
      </c>
      <c r="J4" s="19" t="inlineStr">
        <is>
          <t>W-ES1
ES</t>
        </is>
      </c>
      <c r="K4" s="19" t="inlineStr">
        <is>
          <t>W-PL1
PL</t>
        </is>
      </c>
    </row>
    <row r="5" ht="40" customHeight="1">
      <c r="D5" s="22" t="inlineStr">
        <is>
          <t>D.lgs. 152/1997 art. 1-bis co. 1-6; L. 132/2025 art. 11</t>
        </is>
      </c>
      <c r="E5" s="22" t="inlineStr">
        <is>
          <t>Statuto dei lavoratori, art. 4</t>
        </is>
      </c>
      <c r="F5" s="22" t="inlineStr">
        <is>
          <t>BetrVG §90(1) Nr. 3, §90(2)</t>
        </is>
      </c>
      <c r="G5" s="22" t="inlineStr">
        <is>
          <t>BetrVG §87(1) Nr. 6</t>
        </is>
      </c>
      <c r="H5" s="22" t="inlineStr">
        <is>
          <t>BetrVG §95(1); (2a) where AI helps draw them up</t>
        </is>
      </c>
      <c r="I5" s="22" t="inlineStr">
        <is>
          <t>BetrVG §80(3)</t>
        </is>
      </c>
      <c r="J5" s="22" t="inlineStr">
        <is>
          <t>Estatuto de los Trabajadores art. 64.4.d</t>
        </is>
      </c>
      <c r="K5" s="22" t="inlineStr">
        <is>
          <t>Kodeks pracy art. 22³ §4 with art. 22² §§6-10</t>
        </is>
      </c>
    </row>
    <row r="6">
      <c r="A6" s="6">
        <f>Register!A5</f>
        <v/>
      </c>
      <c r="B6" s="6">
        <f>Register!B5</f>
        <v/>
      </c>
      <c r="C6" s="6">
        <f>Register!$W$5</f>
        <v/>
      </c>
      <c r="D6" s="23">
        <f>IF(AND(Register!$F$5="Yes",Register!$W$5&lt;&gt;"Prohibited",AND(Register!$J$5&lt;&gt;"Yes",Register!$R$5="Yes",OR(Register!$W$5="High-risk",Register!$S$5="Yes"))),"Yes","")</f>
        <v/>
      </c>
      <c r="E6" s="23">
        <f>IF(AND(Register!$F$5="Yes",Register!$W$5&lt;&gt;"Prohibited",Register!$S$5="Yes"),"Yes","")</f>
        <v/>
      </c>
      <c r="F6" s="23">
        <f>IF(AND(Register!$H$5="Yes",Register!$W$5&lt;&gt;"Prohibited",TRUE),"Yes","")</f>
        <v/>
      </c>
      <c r="G6" s="23">
        <f>IF(AND(Register!$H$5="Yes",Register!$W$5&lt;&gt;"Prohibited",OR(Register!$S$5="Yes",AND(Register!$J$5&lt;&gt;"Yes",Register!$W$5="High-risk"))),"Yes","")</f>
        <v/>
      </c>
      <c r="H6" s="23">
        <f>IF(AND(Register!$H$5="Yes",Register!$W$5&lt;&gt;"Prohibited",AND(Register!$M$5="4(a)",Register!$N$5="Yes",Register!$Q$5="Yes")),"Yes","")</f>
        <v/>
      </c>
      <c r="I6" s="23">
        <f>IF(AND(Register!$H$5="Yes",Register!$W$5&lt;&gt;"Prohibited",TRUE),"Yes","")</f>
        <v/>
      </c>
      <c r="J6" s="23">
        <f>IF(AND(Register!$I$5="Yes",Register!$W$5&lt;&gt;"Prohibited",Register!$W$5="High-risk"),"Yes","")</f>
        <v/>
      </c>
      <c r="K6" s="23">
        <f>IF(AND(Register!$G$5="Yes",Register!$W$5&lt;&gt;"Prohibited",Register!$S$5="Yes"),"Yes","")</f>
        <v/>
      </c>
    </row>
    <row r="7">
      <c r="A7" s="6">
        <f>Register!A6</f>
        <v/>
      </c>
      <c r="B7" s="6">
        <f>Register!B6</f>
        <v/>
      </c>
      <c r="C7" s="6">
        <f>Register!$W$6</f>
        <v/>
      </c>
      <c r="D7" s="23">
        <f>IF(AND(Register!$F$6="Yes",Register!$W$6&lt;&gt;"Prohibited",AND(Register!$J$6&lt;&gt;"Yes",Register!$R$6="Yes",OR(Register!$W$6="High-risk",Register!$S$6="Yes"))),"Yes","")</f>
        <v/>
      </c>
      <c r="E7" s="23">
        <f>IF(AND(Register!$F$6="Yes",Register!$W$6&lt;&gt;"Prohibited",Register!$S$6="Yes"),"Yes","")</f>
        <v/>
      </c>
      <c r="F7" s="23">
        <f>IF(AND(Register!$H$6="Yes",Register!$W$6&lt;&gt;"Prohibited",TRUE),"Yes","")</f>
        <v/>
      </c>
      <c r="G7" s="23">
        <f>IF(AND(Register!$H$6="Yes",Register!$W$6&lt;&gt;"Prohibited",OR(Register!$S$6="Yes",AND(Register!$J$6&lt;&gt;"Yes",Register!$W$6="High-risk"))),"Yes","")</f>
        <v/>
      </c>
      <c r="H7" s="23">
        <f>IF(AND(Register!$H$6="Yes",Register!$W$6&lt;&gt;"Prohibited",AND(Register!$M$6="4(a)",Register!$N$6="Yes",Register!$Q$6="Yes")),"Yes","")</f>
        <v/>
      </c>
      <c r="I7" s="23">
        <f>IF(AND(Register!$H$6="Yes",Register!$W$6&lt;&gt;"Prohibited",TRUE),"Yes","")</f>
        <v/>
      </c>
      <c r="J7" s="23">
        <f>IF(AND(Register!$I$6="Yes",Register!$W$6&lt;&gt;"Prohibited",Register!$W$6="High-risk"),"Yes","")</f>
        <v/>
      </c>
      <c r="K7" s="23">
        <f>IF(AND(Register!$G$6="Yes",Register!$W$6&lt;&gt;"Prohibited",Register!$S$6="Yes"),"Yes","")</f>
        <v/>
      </c>
    </row>
    <row r="8">
      <c r="A8" s="6">
        <f>Register!A7</f>
        <v/>
      </c>
      <c r="B8" s="6">
        <f>Register!B7</f>
        <v/>
      </c>
      <c r="C8" s="6">
        <f>Register!$W$7</f>
        <v/>
      </c>
      <c r="D8" s="23">
        <f>IF(AND(Register!$F$7="Yes",Register!$W$7&lt;&gt;"Prohibited",AND(Register!$J$7&lt;&gt;"Yes",Register!$R$7="Yes",OR(Register!$W$7="High-risk",Register!$S$7="Yes"))),"Yes","")</f>
        <v/>
      </c>
      <c r="E8" s="23">
        <f>IF(AND(Register!$F$7="Yes",Register!$W$7&lt;&gt;"Prohibited",Register!$S$7="Yes"),"Yes","")</f>
        <v/>
      </c>
      <c r="F8" s="23">
        <f>IF(AND(Register!$H$7="Yes",Register!$W$7&lt;&gt;"Prohibited",TRUE),"Yes","")</f>
        <v/>
      </c>
      <c r="G8" s="23">
        <f>IF(AND(Register!$H$7="Yes",Register!$W$7&lt;&gt;"Prohibited",OR(Register!$S$7="Yes",AND(Register!$J$7&lt;&gt;"Yes",Register!$W$7="High-risk"))),"Yes","")</f>
        <v/>
      </c>
      <c r="H8" s="23">
        <f>IF(AND(Register!$H$7="Yes",Register!$W$7&lt;&gt;"Prohibited",AND(Register!$M$7="4(a)",Register!$N$7="Yes",Register!$Q$7="Yes")),"Yes","")</f>
        <v/>
      </c>
      <c r="I8" s="23">
        <f>IF(AND(Register!$H$7="Yes",Register!$W$7&lt;&gt;"Prohibited",TRUE),"Yes","")</f>
        <v/>
      </c>
      <c r="J8" s="23">
        <f>IF(AND(Register!$I$7="Yes",Register!$W$7&lt;&gt;"Prohibited",Register!$W$7="High-risk"),"Yes","")</f>
        <v/>
      </c>
      <c r="K8" s="23">
        <f>IF(AND(Register!$G$7="Yes",Register!$W$7&lt;&gt;"Prohibited",Register!$S$7="Yes"),"Yes","")</f>
        <v/>
      </c>
    </row>
    <row r="9">
      <c r="A9" s="6">
        <f>Register!A8</f>
        <v/>
      </c>
      <c r="B9" s="6">
        <f>Register!B8</f>
        <v/>
      </c>
      <c r="C9" s="6">
        <f>Register!$W$8</f>
        <v/>
      </c>
      <c r="D9" s="23">
        <f>IF(AND(Register!$F$8="Yes",Register!$W$8&lt;&gt;"Prohibited",AND(Register!$J$8&lt;&gt;"Yes",Register!$R$8="Yes",OR(Register!$W$8="High-risk",Register!$S$8="Yes"))),"Yes","")</f>
        <v/>
      </c>
      <c r="E9" s="23">
        <f>IF(AND(Register!$F$8="Yes",Register!$W$8&lt;&gt;"Prohibited",Register!$S$8="Yes"),"Yes","")</f>
        <v/>
      </c>
      <c r="F9" s="23">
        <f>IF(AND(Register!$H$8="Yes",Register!$W$8&lt;&gt;"Prohibited",TRUE),"Yes","")</f>
        <v/>
      </c>
      <c r="G9" s="23">
        <f>IF(AND(Register!$H$8="Yes",Register!$W$8&lt;&gt;"Prohibited",OR(Register!$S$8="Yes",AND(Register!$J$8&lt;&gt;"Yes",Register!$W$8="High-risk"))),"Yes","")</f>
        <v/>
      </c>
      <c r="H9" s="23">
        <f>IF(AND(Register!$H$8="Yes",Register!$W$8&lt;&gt;"Prohibited",AND(Register!$M$8="4(a)",Register!$N$8="Yes",Register!$Q$8="Yes")),"Yes","")</f>
        <v/>
      </c>
      <c r="I9" s="23">
        <f>IF(AND(Register!$H$8="Yes",Register!$W$8&lt;&gt;"Prohibited",TRUE),"Yes","")</f>
        <v/>
      </c>
      <c r="J9" s="23">
        <f>IF(AND(Register!$I$8="Yes",Register!$W$8&lt;&gt;"Prohibited",Register!$W$8="High-risk"),"Yes","")</f>
        <v/>
      </c>
      <c r="K9" s="23">
        <f>IF(AND(Register!$G$8="Yes",Register!$W$8&lt;&gt;"Prohibited",Register!$S$8="Yes"),"Yes","")</f>
        <v/>
      </c>
    </row>
    <row r="10">
      <c r="A10" s="6">
        <f>Register!A9</f>
        <v/>
      </c>
      <c r="B10" s="6">
        <f>Register!B9</f>
        <v/>
      </c>
      <c r="C10" s="6">
        <f>Register!$W$9</f>
        <v/>
      </c>
      <c r="D10" s="23">
        <f>IF(AND(Register!$F$9="Yes",Register!$W$9&lt;&gt;"Prohibited",AND(Register!$J$9&lt;&gt;"Yes",Register!$R$9="Yes",OR(Register!$W$9="High-risk",Register!$S$9="Yes"))),"Yes","")</f>
        <v/>
      </c>
      <c r="E10" s="23">
        <f>IF(AND(Register!$F$9="Yes",Register!$W$9&lt;&gt;"Prohibited",Register!$S$9="Yes"),"Yes","")</f>
        <v/>
      </c>
      <c r="F10" s="23">
        <f>IF(AND(Register!$H$9="Yes",Register!$W$9&lt;&gt;"Prohibited",TRUE),"Yes","")</f>
        <v/>
      </c>
      <c r="G10" s="23">
        <f>IF(AND(Register!$H$9="Yes",Register!$W$9&lt;&gt;"Prohibited",OR(Register!$S$9="Yes",AND(Register!$J$9&lt;&gt;"Yes",Register!$W$9="High-risk"))),"Yes","")</f>
        <v/>
      </c>
      <c r="H10" s="23">
        <f>IF(AND(Register!$H$9="Yes",Register!$W$9&lt;&gt;"Prohibited",AND(Register!$M$9="4(a)",Register!$N$9="Yes",Register!$Q$9="Yes")),"Yes","")</f>
        <v/>
      </c>
      <c r="I10" s="23">
        <f>IF(AND(Register!$H$9="Yes",Register!$W$9&lt;&gt;"Prohibited",TRUE),"Yes","")</f>
        <v/>
      </c>
      <c r="J10" s="23">
        <f>IF(AND(Register!$I$9="Yes",Register!$W$9&lt;&gt;"Prohibited",Register!$W$9="High-risk"),"Yes","")</f>
        <v/>
      </c>
      <c r="K10" s="23">
        <f>IF(AND(Register!$G$9="Yes",Register!$W$9&lt;&gt;"Prohibited",Register!$S$9="Yes"),"Yes","")</f>
        <v/>
      </c>
    </row>
    <row r="11">
      <c r="A11" s="6">
        <f>Register!A10</f>
        <v/>
      </c>
      <c r="B11" s="6">
        <f>Register!B10</f>
        <v/>
      </c>
      <c r="C11" s="6">
        <f>Register!$W$10</f>
        <v/>
      </c>
      <c r="D11" s="23">
        <f>IF(AND(Register!$F$10="Yes",Register!$W$10&lt;&gt;"Prohibited",AND(Register!$J$10&lt;&gt;"Yes",Register!$R$10="Yes",OR(Register!$W$10="High-risk",Register!$S$10="Yes"))),"Yes","")</f>
        <v/>
      </c>
      <c r="E11" s="23">
        <f>IF(AND(Register!$F$10="Yes",Register!$W$10&lt;&gt;"Prohibited",Register!$S$10="Yes"),"Yes","")</f>
        <v/>
      </c>
      <c r="F11" s="23">
        <f>IF(AND(Register!$H$10="Yes",Register!$W$10&lt;&gt;"Prohibited",TRUE),"Yes","")</f>
        <v/>
      </c>
      <c r="G11" s="23">
        <f>IF(AND(Register!$H$10="Yes",Register!$W$10&lt;&gt;"Prohibited",OR(Register!$S$10="Yes",AND(Register!$J$10&lt;&gt;"Yes",Register!$W$10="High-risk"))),"Yes","")</f>
        <v/>
      </c>
      <c r="H11" s="23">
        <f>IF(AND(Register!$H$10="Yes",Register!$W$10&lt;&gt;"Prohibited",AND(Register!$M$10="4(a)",Register!$N$10="Yes",Register!$Q$10="Yes")),"Yes","")</f>
        <v/>
      </c>
      <c r="I11" s="23">
        <f>IF(AND(Register!$H$10="Yes",Register!$W$10&lt;&gt;"Prohibited",TRUE),"Yes","")</f>
        <v/>
      </c>
      <c r="J11" s="23">
        <f>IF(AND(Register!$I$10="Yes",Register!$W$10&lt;&gt;"Prohibited",Register!$W$10="High-risk"),"Yes","")</f>
        <v/>
      </c>
      <c r="K11" s="23">
        <f>IF(AND(Register!$G$10="Yes",Register!$W$10&lt;&gt;"Prohibited",Register!$S$10="Yes"),"Yes","")</f>
        <v/>
      </c>
    </row>
    <row r="12">
      <c r="A12" s="6">
        <f>Register!A11</f>
        <v/>
      </c>
      <c r="B12" s="6">
        <f>Register!B11</f>
        <v/>
      </c>
      <c r="C12" s="6">
        <f>Register!$W$11</f>
        <v/>
      </c>
      <c r="D12" s="23">
        <f>IF(AND(Register!$F$11="Yes",Register!$W$11&lt;&gt;"Prohibited",AND(Register!$J$11&lt;&gt;"Yes",Register!$R$11="Yes",OR(Register!$W$11="High-risk",Register!$S$11="Yes"))),"Yes","")</f>
        <v/>
      </c>
      <c r="E12" s="23">
        <f>IF(AND(Register!$F$11="Yes",Register!$W$11&lt;&gt;"Prohibited",Register!$S$11="Yes"),"Yes","")</f>
        <v/>
      </c>
      <c r="F12" s="23">
        <f>IF(AND(Register!$H$11="Yes",Register!$W$11&lt;&gt;"Prohibited",TRUE),"Yes","")</f>
        <v/>
      </c>
      <c r="G12" s="23">
        <f>IF(AND(Register!$H$11="Yes",Register!$W$11&lt;&gt;"Prohibited",OR(Register!$S$11="Yes",AND(Register!$J$11&lt;&gt;"Yes",Register!$W$11="High-risk"))),"Yes","")</f>
        <v/>
      </c>
      <c r="H12" s="23">
        <f>IF(AND(Register!$H$11="Yes",Register!$W$11&lt;&gt;"Prohibited",AND(Register!$M$11="4(a)",Register!$N$11="Yes",Register!$Q$11="Yes")),"Yes","")</f>
        <v/>
      </c>
      <c r="I12" s="23">
        <f>IF(AND(Register!$H$11="Yes",Register!$W$11&lt;&gt;"Prohibited",TRUE),"Yes","")</f>
        <v/>
      </c>
      <c r="J12" s="23">
        <f>IF(AND(Register!$I$11="Yes",Register!$W$11&lt;&gt;"Prohibited",Register!$W$11="High-risk"),"Yes","")</f>
        <v/>
      </c>
      <c r="K12" s="23">
        <f>IF(AND(Register!$G$11="Yes",Register!$W$11&lt;&gt;"Prohibited",Register!$S$11="Yes"),"Yes","")</f>
        <v/>
      </c>
    </row>
    <row r="13">
      <c r="A13" s="6">
        <f>Register!A12</f>
        <v/>
      </c>
      <c r="B13" s="6">
        <f>Register!B12</f>
        <v/>
      </c>
      <c r="C13" s="6">
        <f>Register!$W$12</f>
        <v/>
      </c>
      <c r="D13" s="23">
        <f>IF(AND(Register!$F$12="Yes",Register!$W$12&lt;&gt;"Prohibited",AND(Register!$J$12&lt;&gt;"Yes",Register!$R$12="Yes",OR(Register!$W$12="High-risk",Register!$S$12="Yes"))),"Yes","")</f>
        <v/>
      </c>
      <c r="E13" s="23">
        <f>IF(AND(Register!$F$12="Yes",Register!$W$12&lt;&gt;"Prohibited",Register!$S$12="Yes"),"Yes","")</f>
        <v/>
      </c>
      <c r="F13" s="23">
        <f>IF(AND(Register!$H$12="Yes",Register!$W$12&lt;&gt;"Prohibited",TRUE),"Yes","")</f>
        <v/>
      </c>
      <c r="G13" s="23">
        <f>IF(AND(Register!$H$12="Yes",Register!$W$12&lt;&gt;"Prohibited",OR(Register!$S$12="Yes",AND(Register!$J$12&lt;&gt;"Yes",Register!$W$12="High-risk"))),"Yes","")</f>
        <v/>
      </c>
      <c r="H13" s="23">
        <f>IF(AND(Register!$H$12="Yes",Register!$W$12&lt;&gt;"Prohibited",AND(Register!$M$12="4(a)",Register!$N$12="Yes",Register!$Q$12="Yes")),"Yes","")</f>
        <v/>
      </c>
      <c r="I13" s="23">
        <f>IF(AND(Register!$H$12="Yes",Register!$W$12&lt;&gt;"Prohibited",TRUE),"Yes","")</f>
        <v/>
      </c>
      <c r="J13" s="23">
        <f>IF(AND(Register!$I$12="Yes",Register!$W$12&lt;&gt;"Prohibited",Register!$W$12="High-risk"),"Yes","")</f>
        <v/>
      </c>
      <c r="K13" s="23">
        <f>IF(AND(Register!$G$12="Yes",Register!$W$12&lt;&gt;"Prohibited",Register!$S$12="Yes"),"Yes","")</f>
        <v/>
      </c>
    </row>
    <row r="14">
      <c r="A14" s="6">
        <f>Register!A13</f>
        <v/>
      </c>
      <c r="B14" s="6">
        <f>Register!B13</f>
        <v/>
      </c>
      <c r="C14" s="6">
        <f>Register!$W$13</f>
        <v/>
      </c>
      <c r="D14" s="23">
        <f>IF(AND(Register!$F$13="Yes",Register!$W$13&lt;&gt;"Prohibited",AND(Register!$J$13&lt;&gt;"Yes",Register!$R$13="Yes",OR(Register!$W$13="High-risk",Register!$S$13="Yes"))),"Yes","")</f>
        <v/>
      </c>
      <c r="E14" s="23">
        <f>IF(AND(Register!$F$13="Yes",Register!$W$13&lt;&gt;"Prohibited",Register!$S$13="Yes"),"Yes","")</f>
        <v/>
      </c>
      <c r="F14" s="23">
        <f>IF(AND(Register!$H$13="Yes",Register!$W$13&lt;&gt;"Prohibited",TRUE),"Yes","")</f>
        <v/>
      </c>
      <c r="G14" s="23">
        <f>IF(AND(Register!$H$13="Yes",Register!$W$13&lt;&gt;"Prohibited",OR(Register!$S$13="Yes",AND(Register!$J$13&lt;&gt;"Yes",Register!$W$13="High-risk"))),"Yes","")</f>
        <v/>
      </c>
      <c r="H14" s="23">
        <f>IF(AND(Register!$H$13="Yes",Register!$W$13&lt;&gt;"Prohibited",AND(Register!$M$13="4(a)",Register!$N$13="Yes",Register!$Q$13="Yes")),"Yes","")</f>
        <v/>
      </c>
      <c r="I14" s="23">
        <f>IF(AND(Register!$H$13="Yes",Register!$W$13&lt;&gt;"Prohibited",TRUE),"Yes","")</f>
        <v/>
      </c>
      <c r="J14" s="23">
        <f>IF(AND(Register!$I$13="Yes",Register!$W$13&lt;&gt;"Prohibited",Register!$W$13="High-risk"),"Yes","")</f>
        <v/>
      </c>
      <c r="K14" s="23">
        <f>IF(AND(Register!$G$13="Yes",Register!$W$13&lt;&gt;"Prohibited",Register!$S$13="Yes"),"Yes","")</f>
        <v/>
      </c>
    </row>
    <row r="15">
      <c r="A15" s="6">
        <f>Register!A14</f>
        <v/>
      </c>
      <c r="B15" s="6">
        <f>Register!B14</f>
        <v/>
      </c>
      <c r="C15" s="6">
        <f>Register!$W$14</f>
        <v/>
      </c>
      <c r="D15" s="23">
        <f>IF(AND(Register!$F$14="Yes",Register!$W$14&lt;&gt;"Prohibited",AND(Register!$J$14&lt;&gt;"Yes",Register!$R$14="Yes",OR(Register!$W$14="High-risk",Register!$S$14="Yes"))),"Yes","")</f>
        <v/>
      </c>
      <c r="E15" s="23">
        <f>IF(AND(Register!$F$14="Yes",Register!$W$14&lt;&gt;"Prohibited",Register!$S$14="Yes"),"Yes","")</f>
        <v/>
      </c>
      <c r="F15" s="23">
        <f>IF(AND(Register!$H$14="Yes",Register!$W$14&lt;&gt;"Prohibited",TRUE),"Yes","")</f>
        <v/>
      </c>
      <c r="G15" s="23">
        <f>IF(AND(Register!$H$14="Yes",Register!$W$14&lt;&gt;"Prohibited",OR(Register!$S$14="Yes",AND(Register!$J$14&lt;&gt;"Yes",Register!$W$14="High-risk"))),"Yes","")</f>
        <v/>
      </c>
      <c r="H15" s="23">
        <f>IF(AND(Register!$H$14="Yes",Register!$W$14&lt;&gt;"Prohibited",AND(Register!$M$14="4(a)",Register!$N$14="Yes",Register!$Q$14="Yes")),"Yes","")</f>
        <v/>
      </c>
      <c r="I15" s="23">
        <f>IF(AND(Register!$H$14="Yes",Register!$W$14&lt;&gt;"Prohibited",TRUE),"Yes","")</f>
        <v/>
      </c>
      <c r="J15" s="23">
        <f>IF(AND(Register!$I$14="Yes",Register!$W$14&lt;&gt;"Prohibited",Register!$W$14="High-risk"),"Yes","")</f>
        <v/>
      </c>
      <c r="K15" s="23">
        <f>IF(AND(Register!$G$14="Yes",Register!$W$14&lt;&gt;"Prohibited",Register!$S$14="Yes"),"Yes","")</f>
        <v/>
      </c>
    </row>
    <row r="16">
      <c r="A16" s="6">
        <f>Register!A15</f>
        <v/>
      </c>
      <c r="B16" s="6">
        <f>Register!B15</f>
        <v/>
      </c>
      <c r="C16" s="6">
        <f>Register!$W$15</f>
        <v/>
      </c>
      <c r="D16" s="23">
        <f>IF(AND(Register!$F$15="Yes",Register!$W$15&lt;&gt;"Prohibited",AND(Register!$J$15&lt;&gt;"Yes",Register!$R$15="Yes",OR(Register!$W$15="High-risk",Register!$S$15="Yes"))),"Yes","")</f>
        <v/>
      </c>
      <c r="E16" s="23">
        <f>IF(AND(Register!$F$15="Yes",Register!$W$15&lt;&gt;"Prohibited",Register!$S$15="Yes"),"Yes","")</f>
        <v/>
      </c>
      <c r="F16" s="23">
        <f>IF(AND(Register!$H$15="Yes",Register!$W$15&lt;&gt;"Prohibited",TRUE),"Yes","")</f>
        <v/>
      </c>
      <c r="G16" s="23">
        <f>IF(AND(Register!$H$15="Yes",Register!$W$15&lt;&gt;"Prohibited",OR(Register!$S$15="Yes",AND(Register!$J$15&lt;&gt;"Yes",Register!$W$15="High-risk"))),"Yes","")</f>
        <v/>
      </c>
      <c r="H16" s="23">
        <f>IF(AND(Register!$H$15="Yes",Register!$W$15&lt;&gt;"Prohibited",AND(Register!$M$15="4(a)",Register!$N$15="Yes",Register!$Q$15="Yes")),"Yes","")</f>
        <v/>
      </c>
      <c r="I16" s="23">
        <f>IF(AND(Register!$H$15="Yes",Register!$W$15&lt;&gt;"Prohibited",TRUE),"Yes","")</f>
        <v/>
      </c>
      <c r="J16" s="23">
        <f>IF(AND(Register!$I$15="Yes",Register!$W$15&lt;&gt;"Prohibited",Register!$W$15="High-risk"),"Yes","")</f>
        <v/>
      </c>
      <c r="K16" s="23">
        <f>IF(AND(Register!$G$15="Yes",Register!$W$15&lt;&gt;"Prohibited",Register!$S$15="Yes"),"Yes","")</f>
        <v/>
      </c>
    </row>
    <row r="17">
      <c r="A17" s="6">
        <f>Register!A16</f>
        <v/>
      </c>
      <c r="B17" s="6">
        <f>Register!B16</f>
        <v/>
      </c>
      <c r="C17" s="6">
        <f>Register!$W$16</f>
        <v/>
      </c>
      <c r="D17" s="23">
        <f>IF(AND(Register!$F$16="Yes",Register!$W$16&lt;&gt;"Prohibited",AND(Register!$J$16&lt;&gt;"Yes",Register!$R$16="Yes",OR(Register!$W$16="High-risk",Register!$S$16="Yes"))),"Yes","")</f>
        <v/>
      </c>
      <c r="E17" s="23">
        <f>IF(AND(Register!$F$16="Yes",Register!$W$16&lt;&gt;"Prohibited",Register!$S$16="Yes"),"Yes","")</f>
        <v/>
      </c>
      <c r="F17" s="23">
        <f>IF(AND(Register!$H$16="Yes",Register!$W$16&lt;&gt;"Prohibited",TRUE),"Yes","")</f>
        <v/>
      </c>
      <c r="G17" s="23">
        <f>IF(AND(Register!$H$16="Yes",Register!$W$16&lt;&gt;"Prohibited",OR(Register!$S$16="Yes",AND(Register!$J$16&lt;&gt;"Yes",Register!$W$16="High-risk"))),"Yes","")</f>
        <v/>
      </c>
      <c r="H17" s="23">
        <f>IF(AND(Register!$H$16="Yes",Register!$W$16&lt;&gt;"Prohibited",AND(Register!$M$16="4(a)",Register!$N$16="Yes",Register!$Q$16="Yes")),"Yes","")</f>
        <v/>
      </c>
      <c r="I17" s="23">
        <f>IF(AND(Register!$H$16="Yes",Register!$W$16&lt;&gt;"Prohibited",TRUE),"Yes","")</f>
        <v/>
      </c>
      <c r="J17" s="23">
        <f>IF(AND(Register!$I$16="Yes",Register!$W$16&lt;&gt;"Prohibited",Register!$W$16="High-risk"),"Yes","")</f>
        <v/>
      </c>
      <c r="K17" s="23">
        <f>IF(AND(Register!$G$16="Yes",Register!$W$16&lt;&gt;"Prohibited",Register!$S$16="Yes"),"Yes","")</f>
        <v/>
      </c>
    </row>
    <row r="18">
      <c r="B18" s="16" t="inlineStr">
        <is>
          <t>Systems</t>
        </is>
      </c>
      <c r="D18" s="14">
        <f>COUNTIF(D6:D17,"Yes")</f>
        <v/>
      </c>
      <c r="E18" s="14">
        <f>COUNTIF(E6:E17,"Yes")</f>
        <v/>
      </c>
      <c r="F18" s="14">
        <f>COUNTIF(F6:F17,"Yes")</f>
        <v/>
      </c>
      <c r="G18" s="14">
        <f>COUNTIF(G6:G17,"Yes")</f>
        <v/>
      </c>
      <c r="H18" s="14">
        <f>COUNTIF(H6:H17,"Yes")</f>
        <v/>
      </c>
      <c r="I18" s="14">
        <f>COUNTIF(I6:I17,"Yes")</f>
        <v/>
      </c>
      <c r="J18" s="14">
        <f>COUNTIF(J6:J17,"Yes")</f>
        <v/>
      </c>
      <c r="K18" s="14">
        <f>COUNTIF(K6:K17,"Yes")</f>
        <v/>
      </c>
    </row>
    <row r="20" ht="18" customHeight="1">
      <c r="A20" s="19" t="inlineStr">
        <is>
          <t>Rule</t>
        </is>
      </c>
      <c r="B20" s="19" t="inlineStr"/>
      <c r="C20" s="19" t="inlineStr">
        <is>
          <t>Country</t>
        </is>
      </c>
      <c r="D20" s="19" t="inlineStr">
        <is>
          <t>What it asks</t>
        </is>
      </c>
      <c r="E20" s="19" t="inlineStr"/>
      <c r="F20" s="19" t="inlineStr"/>
      <c r="G20" s="19" t="inlineStr">
        <is>
          <t>When</t>
        </is>
      </c>
    </row>
    <row r="21" ht="42" customHeight="1">
      <c r="A21" s="4" t="inlineStr">
        <is>
          <t>W-IT1</t>
        </is>
      </c>
      <c r="B21" s="10" t="inlineStr">
        <is>
          <t>Information on fully automated decision or monitoring systems</t>
        </is>
      </c>
      <c r="C21" s="4" t="inlineStr">
        <is>
          <t>IT · Milan</t>
        </is>
      </c>
      <c r="D21" s="10" t="inlineStr">
        <is>
          <t>In writing, to each worker and to the union representatives (RSA/RSU): the aspects of the job affected, purposes, logic and functioning, data and main parameters, control and correction measures, accuracy, robustness and cybersecurity, possible discriminatory effects; in a structured, machine-readable format</t>
        </is>
      </c>
      <c r="G21" s="10" t="inlineStr">
        <is>
          <t>Before work starts; at least 24 hours before any change to that information</t>
        </is>
      </c>
    </row>
    <row r="22" ht="42" customHeight="1">
      <c r="A22" s="4" t="inlineStr">
        <is>
          <t>W-IT2</t>
        </is>
      </c>
      <c r="B22" s="10" t="inlineStr">
        <is>
          <t>Agreement or authorisation for tools that allow remote monitoring</t>
        </is>
      </c>
      <c r="C22" s="4" t="inlineStr">
        <is>
          <t>IT · Milan</t>
        </is>
      </c>
      <c r="D22" s="10" t="inlineStr">
        <is>
          <t>Only for organisational and production needs, safety or protection of company assets, and with an agreement with the union representatives or, failing that, authorisation by the labour inspectorate; tools used to do the work and attendance records are exempt; the data can be used only with adequate information to workers</t>
        </is>
      </c>
      <c r="G22" s="10" t="inlineStr">
        <is>
          <t>Before the tool is installed</t>
        </is>
      </c>
    </row>
    <row r="23" ht="42" customHeight="1">
      <c r="A23" s="4" t="inlineStr">
        <is>
          <t>W-DE1</t>
        </is>
      </c>
      <c r="B23" s="10" t="inlineStr">
        <is>
          <t>Information and consultation on planned AI in work procedures</t>
        </is>
      </c>
      <c r="C23" s="4" t="inlineStr">
        <is>
          <t>DE · Munich</t>
        </is>
      </c>
      <c r="D23" s="10" t="inlineStr">
        <is>
          <t>Inform the works council with the documents, and consult it while its views can still change the plan</t>
        </is>
      </c>
      <c r="G23" s="10" t="inlineStr">
        <is>
          <t>At the planning stage</t>
        </is>
      </c>
    </row>
    <row r="24" ht="42" customHeight="1">
      <c r="A24" s="4" t="inlineStr">
        <is>
          <t>W-DE2</t>
        </is>
      </c>
      <c r="B24" s="10" t="inlineStr">
        <is>
          <t>Co-determination on technical devices able to monitor conduct or performance</t>
        </is>
      </c>
      <c r="C24" s="4" t="inlineStr">
        <is>
          <t>DE · Munich</t>
        </is>
      </c>
      <c r="D24" s="10" t="inlineStr">
        <is>
          <t>A works agreement; without it the system cannot lawfully be used. Courts read 'able to' broadly, so systems that log identifiable use may also need one</t>
        </is>
      </c>
      <c r="G24" s="10" t="inlineStr">
        <is>
          <t>Before introduction</t>
        </is>
      </c>
    </row>
    <row r="25" ht="42" customHeight="1">
      <c r="A25" s="4" t="inlineStr">
        <is>
          <t>W-DE3</t>
        </is>
      </c>
      <c r="B25" s="10" t="inlineStr">
        <is>
          <t>Co-determination on selection guidelines</t>
        </is>
      </c>
      <c r="C25" s="4" t="inlineStr">
        <is>
          <t>DE · Munich</t>
        </is>
      </c>
      <c r="D25" s="10" t="inlineStr">
        <is>
          <t>Works council consent to the selection criteria the system applies</t>
        </is>
      </c>
      <c r="G25" s="10" t="inlineStr">
        <is>
          <t>Before use in hiring, transfer or dismissal decisions</t>
        </is>
      </c>
    </row>
    <row r="26" ht="42" customHeight="1">
      <c r="A26" s="4" t="inlineStr">
        <is>
          <t>W-DE4</t>
        </is>
      </c>
      <c r="B26" s="10" t="inlineStr">
        <is>
          <t>An expert for the works council, deemed necessary for AI</t>
        </is>
      </c>
      <c r="C26" s="4" t="inlineStr">
        <is>
          <t>DE · Munich</t>
        </is>
      </c>
      <c r="D26" s="10" t="inlineStr">
        <is>
          <t>An expert, agreed with the employer as to person, subject and cost; for AI its necessity is presumed</t>
        </is>
      </c>
      <c r="G26" s="10" t="inlineStr">
        <is>
          <t>When the works council assesses the system</t>
        </is>
      </c>
    </row>
    <row r="27" ht="42" customHeight="1">
      <c r="A27" s="4" t="inlineStr">
        <is>
          <t>W-ES1</t>
        </is>
      </c>
      <c r="B27" s="10" t="inlineStr">
        <is>
          <t>Information on the parameters of algorithms affecting work</t>
        </is>
      </c>
      <c r="C27" s="4" t="inlineStr">
        <is>
          <t>ES · Barcelona</t>
        </is>
      </c>
      <c r="D27" s="10" t="inlineStr">
        <is>
          <t>The parameters, rules and instructions the system is based on, to the works council</t>
        </is>
      </c>
      <c r="G27" s="10" t="inlineStr">
        <is>
          <t>With the periodicity that applies; before use is the prudent reading</t>
        </is>
      </c>
    </row>
    <row r="28" ht="42" customHeight="1">
      <c r="A28" s="4" t="inlineStr">
        <is>
          <t>W-PL1</t>
        </is>
      </c>
      <c r="B28" s="10" t="inlineStr">
        <is>
          <t>Notice of monitoring other than video</t>
        </is>
      </c>
      <c r="C28" s="4" t="inlineStr">
        <is>
          <t>PL · Kraków</t>
        </is>
      </c>
      <c r="D28" s="10" t="inlineStr">
        <is>
          <t>Allowed only where needed for full use of working time and proper use of work tools; purpose, scope and method in the workplace rules</t>
        </is>
      </c>
      <c r="G28" s="10" t="inlineStr">
        <is>
          <t>At least two weeks before it starts; new hires in writing before they start</t>
        </is>
      </c>
    </row>
  </sheetData>
  <mergeCells count="8">
    <mergeCell ref="D28:F28"/>
    <mergeCell ref="D27:F27"/>
    <mergeCell ref="D23:F23"/>
    <mergeCell ref="D22:F22"/>
    <mergeCell ref="D26:F26"/>
    <mergeCell ref="D21:F21"/>
    <mergeCell ref="D25:F25"/>
    <mergeCell ref="D24:F24"/>
  </mergeCells>
  <conditionalFormatting sqref="C6:K17">
    <cfRule type="cellIs" priority="1" operator="equal" dxfId="0">
      <formula>"Prohibited"</formula>
    </cfRule>
    <cfRule type="cellIs" priority="2" operator="equal" dxfId="1">
      <formula>"High-risk"</formula>
    </cfRule>
    <cfRule type="cellIs" priority="3" operator="equal" dxfId="2">
      <formula>"Not high-risk (Art. 6(3))"</formula>
    </cfRule>
    <cfRule type="cellIs" priority="4" operator="equal" dxfId="3">
      <formula>"Transparency only"</formula>
    </cfRule>
    <cfRule type="cellIs" priority="5" operator="equal" dxfId="4">
      <formula>"Minimal risk"</formula>
    </cfRule>
    <cfRule type="cellIs" priority="6" operator="equal" dxfId="1">
      <formula>"Yes"</formula>
    </cfRule>
    <cfRule type="cellIs" priority="7" operator="equal" dxfId="0">
      <formula>"In force"</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19"/>
  <sheetViews>
    <sheetView showGridLines="0" workbookViewId="0">
      <selection activeCell="A1" sqref="A1"/>
    </sheetView>
  </sheetViews>
  <sheetFormatPr baseColWidth="8" defaultRowHeight="15"/>
  <cols>
    <col width="7" customWidth="1" min="1" max="1"/>
    <col width="54" customWidth="1" min="2" max="2"/>
    <col width="20" customWidth="1" min="3" max="3"/>
    <col width="14" customWidth="1" min="4" max="4"/>
    <col width="12" customWidth="1" min="5" max="5"/>
    <col width="12" customWidth="1" min="6" max="6"/>
    <col width="12" customWidth="1" min="7" max="7"/>
  </cols>
  <sheetData>
    <row r="1">
      <c r="A1" s="12" t="inlineStr">
        <is>
          <t>Timeline: every obligation in date order</t>
        </is>
      </c>
    </row>
    <row r="2">
      <c r="A2" s="13" t="inlineStr">
        <is>
          <t>In force means the date has passed at the assessment date in Settings.</t>
        </is>
      </c>
    </row>
    <row r="4" ht="30" customHeight="1">
      <c r="A4" s="19" t="inlineStr">
        <is>
          <t>Key</t>
        </is>
      </c>
      <c r="B4" s="19" t="inlineStr">
        <is>
          <t>Obligation</t>
        </is>
      </c>
      <c r="C4" s="19" t="inlineStr">
        <is>
          <t>Article</t>
        </is>
      </c>
      <c r="D4" s="19" t="inlineStr">
        <is>
          <t>Applies from</t>
        </is>
      </c>
      <c r="E4" s="19" t="inlineStr">
        <is>
          <t>Systems</t>
        </is>
      </c>
      <c r="F4" s="19" t="inlineStr">
        <is>
          <t>Days from now</t>
        </is>
      </c>
      <c r="G4" s="19" t="inlineStr">
        <is>
          <t>Status</t>
        </is>
      </c>
    </row>
    <row r="5">
      <c r="A5" s="4" t="inlineStr">
        <is>
          <t>O01</t>
        </is>
      </c>
      <c r="B5" s="4" t="inlineStr">
        <is>
          <t>AI literacy of the staff who operate or use it</t>
        </is>
      </c>
      <c r="C5" s="4" t="inlineStr">
        <is>
          <t>Art. 4</t>
        </is>
      </c>
      <c r="D5" s="24">
        <f>Settings!$C$5</f>
        <v/>
      </c>
      <c r="E5" s="15">
        <f>Obligations!D18</f>
        <v/>
      </c>
      <c r="F5" s="25">
        <f>D5-Settings!$C$4</f>
        <v/>
      </c>
      <c r="G5" s="4">
        <f>IF(F5&lt;=0,"In force","Ahead")</f>
        <v/>
      </c>
    </row>
    <row r="6">
      <c r="A6" s="4" t="inlineStr">
        <is>
          <t>O02</t>
        </is>
      </c>
      <c r="B6" s="4" t="inlineStr">
        <is>
          <t>Stop the prohibited use</t>
        </is>
      </c>
      <c r="C6" s="4" t="inlineStr">
        <is>
          <t>Art. 5(1)(f)</t>
        </is>
      </c>
      <c r="D6" s="24">
        <f>Settings!$C$5</f>
        <v/>
      </c>
      <c r="E6" s="15">
        <f>Obligations!E18</f>
        <v/>
      </c>
      <c r="F6" s="25">
        <f>D6-Settings!$C$4</f>
        <v/>
      </c>
      <c r="G6" s="4">
        <f>IF(F6&lt;=0,"In force","Ahead")</f>
        <v/>
      </c>
    </row>
    <row r="7">
      <c r="A7" s="4" t="inlineStr">
        <is>
          <t>O03</t>
        </is>
      </c>
      <c r="B7" s="4" t="inlineStr">
        <is>
          <t>People told they are talking to an AI: the supplier's duty, checked by the employer</t>
        </is>
      </c>
      <c r="C7" s="4" t="inlineStr">
        <is>
          <t>Art. 50(1)</t>
        </is>
      </c>
      <c r="D7" s="24">
        <f>Settings!$C$6</f>
        <v/>
      </c>
      <c r="E7" s="15">
        <f>Obligations!F18</f>
        <v/>
      </c>
      <c r="F7" s="25">
        <f>D7-Settings!$C$4</f>
        <v/>
      </c>
      <c r="G7" s="4">
        <f>IF(F7&lt;=0,"In force","Ahead")</f>
        <v/>
      </c>
    </row>
    <row r="8">
      <c r="A8" s="4" t="inlineStr">
        <is>
          <t>O04</t>
        </is>
      </c>
      <c r="B8" s="4" t="inlineStr">
        <is>
          <t>Use as instructed, with named human oversight</t>
        </is>
      </c>
      <c r="C8" s="4" t="inlineStr">
        <is>
          <t>Art. 26(1)-(2)</t>
        </is>
      </c>
      <c r="D8" s="24">
        <f>Settings!$C$7</f>
        <v/>
      </c>
      <c r="E8" s="15">
        <f>Obligations!G18</f>
        <v/>
      </c>
      <c r="F8" s="25">
        <f>D8-Settings!$C$4</f>
        <v/>
      </c>
      <c r="G8" s="4">
        <f>IF(F8&lt;=0,"In force","Ahead")</f>
        <v/>
      </c>
    </row>
    <row r="9">
      <c r="A9" s="4" t="inlineStr">
        <is>
          <t>O05</t>
        </is>
      </c>
      <c r="B9" s="4" t="inlineStr">
        <is>
          <t>Input data relevant and representative</t>
        </is>
      </c>
      <c r="C9" s="4" t="inlineStr">
        <is>
          <t>Art. 26(4)</t>
        </is>
      </c>
      <c r="D9" s="24">
        <f>Settings!$C$7</f>
        <v/>
      </c>
      <c r="E9" s="15">
        <f>Obligations!H18</f>
        <v/>
      </c>
      <c r="F9" s="25">
        <f>D9-Settings!$C$4</f>
        <v/>
      </c>
      <c r="G9" s="4">
        <f>IF(F9&lt;=0,"In force","Ahead")</f>
        <v/>
      </c>
    </row>
    <row r="10">
      <c r="A10" s="4" t="inlineStr">
        <is>
          <t>O06</t>
        </is>
      </c>
      <c r="B10" s="4" t="inlineStr">
        <is>
          <t>Monitor; report risks and serious incidents; suspend</t>
        </is>
      </c>
      <c r="C10" s="4" t="inlineStr">
        <is>
          <t>Art. 26(5)</t>
        </is>
      </c>
      <c r="D10" s="24">
        <f>Settings!$C$7</f>
        <v/>
      </c>
      <c r="E10" s="15">
        <f>Obligations!I18</f>
        <v/>
      </c>
      <c r="F10" s="25">
        <f>D10-Settings!$C$4</f>
        <v/>
      </c>
      <c r="G10" s="4">
        <f>IF(F10&lt;=0,"In force","Ahead")</f>
        <v/>
      </c>
    </row>
    <row r="11">
      <c r="A11" s="4" t="inlineStr">
        <is>
          <t>O07</t>
        </is>
      </c>
      <c r="B11" s="4" t="inlineStr">
        <is>
          <t>Keep the logs for at least six months</t>
        </is>
      </c>
      <c r="C11" s="4" t="inlineStr">
        <is>
          <t>Art. 26(6)</t>
        </is>
      </c>
      <c r="D11" s="24">
        <f>Settings!$C$7</f>
        <v/>
      </c>
      <c r="E11" s="15">
        <f>Obligations!J18</f>
        <v/>
      </c>
      <c r="F11" s="25">
        <f>D11-Settings!$C$4</f>
        <v/>
      </c>
      <c r="G11" s="4">
        <f>IF(F11&lt;=0,"In force","Ahead")</f>
        <v/>
      </c>
    </row>
    <row r="12">
      <c r="A12" s="4" t="inlineStr">
        <is>
          <t>O08</t>
        </is>
      </c>
      <c r="B12" s="4" t="inlineStr">
        <is>
          <t>Tell workers' representatives and affected workers before use</t>
        </is>
      </c>
      <c r="C12" s="4" t="inlineStr">
        <is>
          <t>Art. 26(7)</t>
        </is>
      </c>
      <c r="D12" s="24">
        <f>Settings!$C$7</f>
        <v/>
      </c>
      <c r="E12" s="15">
        <f>Obligations!K18</f>
        <v/>
      </c>
      <c r="F12" s="25">
        <f>D12-Settings!$C$4</f>
        <v/>
      </c>
      <c r="G12" s="4">
        <f>IF(F12&lt;=0,"In force","Ahead")</f>
        <v/>
      </c>
    </row>
    <row r="13">
      <c r="A13" s="4" t="inlineStr">
        <is>
          <t>O09</t>
        </is>
      </c>
      <c r="B13" s="4" t="inlineStr">
        <is>
          <t>Data protection impact assessment built on the provider's information</t>
        </is>
      </c>
      <c r="C13" s="4" t="inlineStr">
        <is>
          <t>Art. 26(9); GDPR Art. 35</t>
        </is>
      </c>
      <c r="D13" s="24">
        <f>Settings!$C$7</f>
        <v/>
      </c>
      <c r="E13" s="15">
        <f>Obligations!L18</f>
        <v/>
      </c>
      <c r="F13" s="25">
        <f>D13-Settings!$C$4</f>
        <v/>
      </c>
      <c r="G13" s="4">
        <f>IF(F13&lt;=0,"In force","Ahead")</f>
        <v/>
      </c>
    </row>
    <row r="14">
      <c r="A14" s="4" t="inlineStr">
        <is>
          <t>O10</t>
        </is>
      </c>
      <c r="B14" s="4" t="inlineStr">
        <is>
          <t>Tell the people decisions are made about</t>
        </is>
      </c>
      <c r="C14" s="4" t="inlineStr">
        <is>
          <t>Art. 26(11)</t>
        </is>
      </c>
      <c r="D14" s="24">
        <f>Settings!$C$7</f>
        <v/>
      </c>
      <c r="E14" s="15">
        <f>Obligations!M18</f>
        <v/>
      </c>
      <c r="F14" s="25">
        <f>D14-Settings!$C$4</f>
        <v/>
      </c>
      <c r="G14" s="4">
        <f>IF(F14&lt;=0,"In force","Ahead")</f>
        <v/>
      </c>
    </row>
    <row r="15">
      <c r="A15" s="4" t="inlineStr">
        <is>
          <t>O11</t>
        </is>
      </c>
      <c r="B15" s="4" t="inlineStr">
        <is>
          <t>Explain a decision on request</t>
        </is>
      </c>
      <c r="C15" s="4" t="inlineStr">
        <is>
          <t>Art. 86</t>
        </is>
      </c>
      <c r="D15" s="24">
        <f>Settings!$C$7</f>
        <v/>
      </c>
      <c r="E15" s="15">
        <f>Obligations!N18</f>
        <v/>
      </c>
      <c r="F15" s="25">
        <f>D15-Settings!$C$4</f>
        <v/>
      </c>
      <c r="G15" s="4">
        <f>IF(F15&lt;=0,"In force","Ahead")</f>
        <v/>
      </c>
    </row>
    <row r="16">
      <c r="A16" s="4" t="inlineStr">
        <is>
          <t>O12</t>
        </is>
      </c>
      <c r="B16" s="4" t="inlineStr">
        <is>
          <t>Provider duties for a system built in-house</t>
        </is>
      </c>
      <c r="C16" s="4" t="inlineStr">
        <is>
          <t>Art. 3(3), 16</t>
        </is>
      </c>
      <c r="D16" s="24">
        <f>Settings!$C$7</f>
        <v/>
      </c>
      <c r="E16" s="15">
        <f>Obligations!O18</f>
        <v/>
      </c>
      <c r="F16" s="25">
        <f>D16-Settings!$C$4</f>
        <v/>
      </c>
      <c r="G16" s="4">
        <f>IF(F16&lt;=0,"In force","Ahead")</f>
        <v/>
      </c>
    </row>
    <row r="17">
      <c r="A17" s="4" t="inlineStr">
        <is>
          <t>O13</t>
        </is>
      </c>
      <c r="B17" s="4" t="inlineStr">
        <is>
          <t>Not-high-risk assessment documented</t>
        </is>
      </c>
      <c r="C17" s="4" t="inlineStr">
        <is>
          <t>Art. 6(4)</t>
        </is>
      </c>
      <c r="D17" s="24">
        <f>Settings!$C$7</f>
        <v/>
      </c>
      <c r="E17" s="15">
        <f>Obligations!P18</f>
        <v/>
      </c>
      <c r="F17" s="25">
        <f>D17-Settings!$C$4</f>
        <v/>
      </c>
      <c r="G17" s="4">
        <f>IF(F17&lt;=0,"In force","Ahead")</f>
        <v/>
      </c>
    </row>
    <row r="19">
      <c r="B19" s="16" t="inlineStr">
        <is>
          <t>Days to 2 December 2027, when the high-risk duties start</t>
        </is>
      </c>
      <c r="F19" s="26">
        <f>Settings!$C$7-Settings!$C$4</f>
        <v/>
      </c>
    </row>
  </sheetData>
  <conditionalFormatting sqref="G5:G17">
    <cfRule type="cellIs" priority="1" operator="equal" dxfId="0">
      <formula>"Prohibited"</formula>
    </cfRule>
    <cfRule type="cellIs" priority="2" operator="equal" dxfId="1">
      <formula>"High-risk"</formula>
    </cfRule>
    <cfRule type="cellIs" priority="3" operator="equal" dxfId="2">
      <formula>"Not high-risk (Art. 6(3))"</formula>
    </cfRule>
    <cfRule type="cellIs" priority="4" operator="equal" dxfId="3">
      <formula>"Transparency only"</formula>
    </cfRule>
    <cfRule type="cellIs" priority="5" operator="equal" dxfId="4">
      <formula>"Minimal risk"</formula>
    </cfRule>
    <cfRule type="cellIs" priority="6" operator="equal" dxfId="1">
      <formula>"Yes"</formula>
    </cfRule>
    <cfRule type="cellIs" priority="7" operator="equal" dxfId="0">
      <formula>"In force"</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29"/>
  <sheetViews>
    <sheetView showGridLines="0" workbookViewId="0">
      <selection activeCell="A1" sqref="A1"/>
    </sheetView>
  </sheetViews>
  <sheetFormatPr baseColWidth="8" defaultRowHeight="15"/>
  <cols>
    <col width="10" customWidth="1" min="1" max="1"/>
    <col width="20" customWidth="1" min="2" max="2"/>
    <col width="12" customWidth="1" min="3" max="3"/>
  </cols>
  <sheetData>
    <row r="1">
      <c r="A1" s="12" t="inlineStr">
        <is>
          <t>Headcount by employer and department</t>
        </is>
      </c>
    </row>
    <row r="2">
      <c r="A2" s="13" t="inlineStr">
        <is>
          <t>Workers active on 30 June 2026, from the payroll extract of pay-transparency-readiness-kit (commit 0bfb9c9).</t>
        </is>
      </c>
    </row>
    <row r="4" ht="18" customHeight="1">
      <c r="A4" s="19" t="inlineStr">
        <is>
          <t>Employer</t>
        </is>
      </c>
      <c r="B4" s="19" t="inlineStr">
        <is>
          <t>Department</t>
        </is>
      </c>
      <c r="C4" s="19" t="inlineStr">
        <is>
          <t>Workers</t>
        </is>
      </c>
    </row>
    <row r="5">
      <c r="A5" s="5" t="inlineStr">
        <is>
          <t>DE</t>
        </is>
      </c>
      <c r="B5" s="5" t="inlineStr">
        <is>
          <t>Customer Service</t>
        </is>
      </c>
      <c r="C5" s="27" t="n">
        <v>209</v>
      </c>
    </row>
    <row r="6">
      <c r="A6" s="5" t="inlineStr">
        <is>
          <t>DE</t>
        </is>
      </c>
      <c r="B6" s="5" t="inlineStr">
        <is>
          <t>Finance</t>
        </is>
      </c>
      <c r="C6" s="27" t="n">
        <v>79</v>
      </c>
    </row>
    <row r="7">
      <c r="A7" s="5" t="inlineStr">
        <is>
          <t>DE</t>
        </is>
      </c>
      <c r="B7" s="5" t="inlineStr">
        <is>
          <t>HR</t>
        </is>
      </c>
      <c r="C7" s="27" t="n">
        <v>73</v>
      </c>
    </row>
    <row r="8">
      <c r="A8" s="5" t="inlineStr">
        <is>
          <t>DE</t>
        </is>
      </c>
      <c r="B8" s="5" t="inlineStr">
        <is>
          <t>Operations</t>
        </is>
      </c>
      <c r="C8" s="27" t="n">
        <v>185</v>
      </c>
    </row>
    <row r="9">
      <c r="A9" s="5" t="inlineStr">
        <is>
          <t>DE</t>
        </is>
      </c>
      <c r="B9" s="5" t="inlineStr">
        <is>
          <t>Sales</t>
        </is>
      </c>
      <c r="C9" s="27" t="n">
        <v>92</v>
      </c>
    </row>
    <row r="10">
      <c r="A10" s="5" t="inlineStr">
        <is>
          <t>DE</t>
        </is>
      </c>
      <c r="B10" s="5" t="inlineStr">
        <is>
          <t>Tech</t>
        </is>
      </c>
      <c r="C10" s="27" t="n">
        <v>103</v>
      </c>
    </row>
    <row r="11">
      <c r="A11" s="5" t="inlineStr">
        <is>
          <t>ES</t>
        </is>
      </c>
      <c r="B11" s="5" t="inlineStr">
        <is>
          <t>Customer Service</t>
        </is>
      </c>
      <c r="C11" s="27" t="n">
        <v>149</v>
      </c>
    </row>
    <row r="12">
      <c r="A12" s="5" t="inlineStr">
        <is>
          <t>ES</t>
        </is>
      </c>
      <c r="B12" s="5" t="inlineStr">
        <is>
          <t>Finance</t>
        </is>
      </c>
      <c r="C12" s="27" t="n">
        <v>44</v>
      </c>
    </row>
    <row r="13">
      <c r="A13" s="5" t="inlineStr">
        <is>
          <t>ES</t>
        </is>
      </c>
      <c r="B13" s="5" t="inlineStr">
        <is>
          <t>HR</t>
        </is>
      </c>
      <c r="C13" s="27" t="n">
        <v>43</v>
      </c>
    </row>
    <row r="14">
      <c r="A14" s="5" t="inlineStr">
        <is>
          <t>ES</t>
        </is>
      </c>
      <c r="B14" s="5" t="inlineStr">
        <is>
          <t>Operations</t>
        </is>
      </c>
      <c r="C14" s="27" t="n">
        <v>112</v>
      </c>
    </row>
    <row r="15">
      <c r="A15" s="5" t="inlineStr">
        <is>
          <t>ES</t>
        </is>
      </c>
      <c r="B15" s="5" t="inlineStr">
        <is>
          <t>Sales</t>
        </is>
      </c>
      <c r="C15" s="27" t="n">
        <v>71</v>
      </c>
    </row>
    <row r="16">
      <c r="A16" s="5" t="inlineStr">
        <is>
          <t>ES</t>
        </is>
      </c>
      <c r="B16" s="5" t="inlineStr">
        <is>
          <t>Tech</t>
        </is>
      </c>
      <c r="C16" s="27" t="n">
        <v>74</v>
      </c>
    </row>
    <row r="17">
      <c r="A17" s="5" t="inlineStr">
        <is>
          <t>IT</t>
        </is>
      </c>
      <c r="B17" s="5" t="inlineStr">
        <is>
          <t>Customer Service</t>
        </is>
      </c>
      <c r="C17" s="27" t="n">
        <v>310</v>
      </c>
    </row>
    <row r="18">
      <c r="A18" s="5" t="inlineStr">
        <is>
          <t>IT</t>
        </is>
      </c>
      <c r="B18" s="5" t="inlineStr">
        <is>
          <t>Finance</t>
        </is>
      </c>
      <c r="C18" s="27" t="n">
        <v>106</v>
      </c>
    </row>
    <row r="19">
      <c r="A19" s="5" t="inlineStr">
        <is>
          <t>IT</t>
        </is>
      </c>
      <c r="B19" s="5" t="inlineStr">
        <is>
          <t>HR</t>
        </is>
      </c>
      <c r="C19" s="27" t="n">
        <v>77</v>
      </c>
    </row>
    <row r="20">
      <c r="A20" s="5" t="inlineStr">
        <is>
          <t>IT</t>
        </is>
      </c>
      <c r="B20" s="5" t="inlineStr">
        <is>
          <t>Operations</t>
        </is>
      </c>
      <c r="C20" s="27" t="n">
        <v>260</v>
      </c>
    </row>
    <row r="21">
      <c r="A21" s="5" t="inlineStr">
        <is>
          <t>IT</t>
        </is>
      </c>
      <c r="B21" s="5" t="inlineStr">
        <is>
          <t>Sales</t>
        </is>
      </c>
      <c r="C21" s="27" t="n">
        <v>125</v>
      </c>
    </row>
    <row r="22">
      <c r="A22" s="5" t="inlineStr">
        <is>
          <t>IT</t>
        </is>
      </c>
      <c r="B22" s="5" t="inlineStr">
        <is>
          <t>Tech</t>
        </is>
      </c>
      <c r="C22" s="27" t="n">
        <v>175</v>
      </c>
    </row>
    <row r="23">
      <c r="A23" s="5" t="inlineStr">
        <is>
          <t>PL</t>
        </is>
      </c>
      <c r="B23" s="5" t="inlineStr">
        <is>
          <t>Customer Service</t>
        </is>
      </c>
      <c r="C23" s="27" t="n">
        <v>328</v>
      </c>
    </row>
    <row r="24">
      <c r="A24" s="5" t="inlineStr">
        <is>
          <t>PL</t>
        </is>
      </c>
      <c r="B24" s="5" t="inlineStr">
        <is>
          <t>Finance</t>
        </is>
      </c>
      <c r="C24" s="27" t="n">
        <v>105</v>
      </c>
    </row>
    <row r="25">
      <c r="A25" s="5" t="inlineStr">
        <is>
          <t>PL</t>
        </is>
      </c>
      <c r="B25" s="5" t="inlineStr">
        <is>
          <t>HR</t>
        </is>
      </c>
      <c r="C25" s="27" t="n">
        <v>89</v>
      </c>
    </row>
    <row r="26">
      <c r="A26" s="5" t="inlineStr">
        <is>
          <t>PL</t>
        </is>
      </c>
      <c r="B26" s="5" t="inlineStr">
        <is>
          <t>Operations</t>
        </is>
      </c>
      <c r="C26" s="27" t="n">
        <v>294</v>
      </c>
    </row>
    <row r="27">
      <c r="A27" s="5" t="inlineStr">
        <is>
          <t>PL</t>
        </is>
      </c>
      <c r="B27" s="5" t="inlineStr">
        <is>
          <t>Sales</t>
        </is>
      </c>
      <c r="C27" s="27" t="n">
        <v>146</v>
      </c>
    </row>
    <row r="28">
      <c r="A28" s="5" t="inlineStr">
        <is>
          <t>PL</t>
        </is>
      </c>
      <c r="B28" s="5" t="inlineStr">
        <is>
          <t>Tech</t>
        </is>
      </c>
      <c r="C28" s="27" t="n">
        <v>194</v>
      </c>
    </row>
    <row r="29">
      <c r="B29" s="16" t="inlineStr">
        <is>
          <t>Total</t>
        </is>
      </c>
      <c r="C29" s="26">
        <f>SUM(C5:C28)</f>
        <v/>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7"/>
  <sheetViews>
    <sheetView showGridLines="0" workbookViewId="0">
      <selection activeCell="A1" sqref="A1"/>
    </sheetView>
  </sheetViews>
  <sheetFormatPr baseColWidth="8" defaultRowHeight="15"/>
  <cols>
    <col width="3" customWidth="1" min="1" max="1"/>
    <col width="58" customWidth="1" min="2" max="2"/>
    <col width="16" customWidth="1" min="3" max="3"/>
    <col width="80" customWidth="1" min="4" max="4"/>
  </cols>
  <sheetData>
    <row r="1">
      <c r="A1" s="12" t="inlineStr">
        <is>
          <t>Settings</t>
        </is>
      </c>
    </row>
    <row r="2">
      <c r="A2" s="13" t="inlineStr">
        <is>
          <t>The dates the register runs on. Blue cells can be changed.</t>
        </is>
      </c>
    </row>
    <row r="4">
      <c r="B4" s="4" t="inlineStr">
        <is>
          <t>Date of this assessment</t>
        </is>
      </c>
      <c r="C4" s="28" t="n">
        <v>46319</v>
      </c>
      <c r="D4" s="13" t="inlineStr">
        <is>
          <t>Days to each deadline count from here.</t>
        </is>
      </c>
    </row>
    <row r="5">
      <c r="B5" s="4" t="inlineStr">
        <is>
          <t>Articles 4 and 5 apply from</t>
        </is>
      </c>
      <c r="C5" s="28" t="n">
        <v>45690</v>
      </c>
      <c r="D5" s="13" t="inlineStr">
        <is>
          <t>Art. 113(a).</t>
        </is>
      </c>
    </row>
    <row r="6">
      <c r="B6" s="4" t="inlineStr">
        <is>
          <t>Article 50 and the rest apply from</t>
        </is>
      </c>
      <c r="C6" s="28" t="n">
        <v>46236</v>
      </c>
      <c r="D6" s="13" t="inlineStr">
        <is>
          <t>Art. 113, first paragraph.</t>
        </is>
      </c>
    </row>
    <row r="7">
      <c r="B7" s="4" t="inlineStr">
        <is>
          <t>Articles 6 to 27 apply to Annex III systems from</t>
        </is>
      </c>
      <c r="C7" s="29" t="n">
        <v>46723</v>
      </c>
      <c r="D7" s="13" t="inlineStr">
        <is>
          <t>Art. 113(c)(i) as amended by Regulation (EU) 2026/1744 (was 2 August 2026).</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G336"/>
  <sheetViews>
    <sheetView showGridLines="0" workbookViewId="0">
      <pane ySplit="6" topLeftCell="A7" activePane="bottomLeft" state="frozen"/>
      <selection pane="bottomLeft" activeCell="A1" sqref="A1"/>
    </sheetView>
  </sheetViews>
  <sheetFormatPr baseColWidth="8" defaultRowHeight="15"/>
  <cols>
    <col width="14" customWidth="1" min="1" max="1"/>
    <col width="62" customWidth="1" min="2" max="2"/>
    <col width="3" customWidth="1" min="3" max="3"/>
    <col width="26" customWidth="1" min="4" max="4"/>
    <col width="26" customWidth="1" min="5" max="5"/>
    <col width="12" customWidth="1" min="6" max="6"/>
    <col width="8" customWidth="1" min="7" max="7"/>
  </cols>
  <sheetData>
    <row r="1">
      <c r="A1" s="12" t="inlineStr">
        <is>
          <t>Reconciliation: workbook formulas against the Python register</t>
        </is>
      </c>
    </row>
    <row r="2">
      <c r="A2" s="13" t="inlineStr">
        <is>
          <t>Column D was written by src/build_workbook.py from the Python results; column E is the live formula.</t>
        </is>
      </c>
    </row>
    <row r="3">
      <c r="B3" s="30">
        <f>IF(COUNTIF(G7:G336,"Yes")=COUNTA(B7:B336),"All "&amp;COUNTA(B7:B336)&amp;" checks match",(COUNTA(B7:B336)-COUNTIF(G7:G336,"Yes"))&amp;" of "&amp;COUNTA(B7:B336)&amp;" checks do not match")</f>
        <v/>
      </c>
    </row>
    <row r="6" ht="30" customHeight="1">
      <c r="A6" s="19" t="inlineStr">
        <is>
          <t>Area</t>
        </is>
      </c>
      <c r="B6" s="19" t="inlineStr">
        <is>
          <t>Item</t>
        </is>
      </c>
      <c r="C6" s="19" t="inlineStr"/>
      <c r="D6" s="19" t="inlineStr">
        <is>
          <t>Python value</t>
        </is>
      </c>
      <c r="E6" s="19" t="inlineStr">
        <is>
          <t>Workbook value</t>
        </is>
      </c>
      <c r="F6" s="19" t="inlineStr">
        <is>
          <t>Difference</t>
        </is>
      </c>
      <c r="G6" s="19" t="inlineStr">
        <is>
          <t>Match</t>
        </is>
      </c>
    </row>
    <row r="7">
      <c r="A7" s="4" t="inlineStr">
        <is>
          <t>Headcount</t>
        </is>
      </c>
      <c r="B7" s="4" t="inlineStr">
        <is>
          <t>Workers in all four employers</t>
        </is>
      </c>
      <c r="D7" s="5" t="n">
        <v>3443</v>
      </c>
      <c r="E7" s="6">
        <f>Headcount!C29</f>
        <v/>
      </c>
      <c r="F7" s="4">
        <f>IF(AND(ISNUMBER(D7),ISNUMBER(E7)),E7-D7,"")</f>
        <v/>
      </c>
      <c r="G7" s="4">
        <f>IFERROR(IF(AND(D7="",E7=""),"Yes",IF(AND(ISNUMBER(D7),ISNUMBER(E7)),IF(ABS(E7-D7)&lt;=1E-9*MAX(1,ABS(D7)),"Yes","No"),IF(EXACT(D7,E7),"Yes","No"))),"No")</f>
        <v/>
      </c>
    </row>
    <row r="8">
      <c r="A8" s="4" t="inlineStr">
        <is>
          <t>Register</t>
        </is>
      </c>
      <c r="B8" s="4" t="inlineStr">
        <is>
          <t>S01 CV screening and ranking: class</t>
        </is>
      </c>
      <c r="D8" s="5" t="inlineStr">
        <is>
          <t>High-risk</t>
        </is>
      </c>
      <c r="E8" s="6">
        <f>Register!W5</f>
        <v/>
      </c>
      <c r="F8" s="4">
        <f>IF(AND(ISNUMBER(D8),ISNUMBER(E8)),E8-D8,"")</f>
        <v/>
      </c>
      <c r="G8" s="4">
        <f>IFERROR(IF(AND(D8="",E8=""),"Yes",IF(AND(ISNUMBER(D8),ISNUMBER(E8)),IF(ABS(E8-D8)&lt;=1E-9*MAX(1,ABS(D8)),"Yes","No"),IF(EXACT(D8,E8),"Yes","No"))),"No")</f>
        <v/>
      </c>
    </row>
    <row r="9">
      <c r="A9" s="4" t="inlineStr">
        <is>
          <t>Register</t>
        </is>
      </c>
      <c r="B9" s="4" t="inlineStr">
        <is>
          <t>S01 CV screening and ranking: role</t>
        </is>
      </c>
      <c r="D9" s="5" t="inlineStr">
        <is>
          <t>Deployer</t>
        </is>
      </c>
      <c r="E9" s="6">
        <f>Register!X5</f>
        <v/>
      </c>
      <c r="F9" s="4">
        <f>IF(AND(ISNUMBER(D9),ISNUMBER(E9)),E9-D9,"")</f>
        <v/>
      </c>
      <c r="G9" s="4">
        <f>IFERROR(IF(AND(D9="",E9=""),"Yes",IF(AND(ISNUMBER(D9),ISNUMBER(E9)),IF(ABS(E9-D9)&lt;=1E-9*MAX(1,ABS(D9)),"Yes","No"),IF(EXACT(D9,E9),"Yes","No"))),"No")</f>
        <v/>
      </c>
    </row>
    <row r="10">
      <c r="A10" s="4" t="inlineStr">
        <is>
          <t>Register</t>
        </is>
      </c>
      <c r="B10" s="4" t="inlineStr">
        <is>
          <t>S01 CV screening and ranking: high-risk timing</t>
        </is>
      </c>
      <c r="D10" s="5" t="inlineStr">
        <is>
          <t>At its next significant design change</t>
        </is>
      </c>
      <c r="E10" s="6">
        <f>Register!Y5</f>
        <v/>
      </c>
      <c r="F10" s="4">
        <f>IF(AND(ISNUMBER(D10),ISNUMBER(E10)),E10-D10,"")</f>
        <v/>
      </c>
      <c r="G10" s="4">
        <f>IFERROR(IF(AND(D10="",E10=""),"Yes",IF(AND(ISNUMBER(D10),ISNUMBER(E10)),IF(ABS(E10-D10)&lt;=1E-9*MAX(1,ABS(D10)),"Yes","No"),IF(EXACT(D10,E10),"Yes","No"))),"No")</f>
        <v/>
      </c>
    </row>
    <row r="11">
      <c r="A11" s="4" t="inlineStr">
        <is>
          <t>Register</t>
        </is>
      </c>
      <c r="B11" s="4" t="inlineStr">
        <is>
          <t>S01 CV screening and ranking: workers in scope</t>
        </is>
      </c>
      <c r="D11" s="5" t="n">
        <v>3443</v>
      </c>
      <c r="E11" s="6">
        <f>Register!V5</f>
        <v/>
      </c>
      <c r="F11" s="4">
        <f>IF(AND(ISNUMBER(D11),ISNUMBER(E11)),E11-D11,"")</f>
        <v/>
      </c>
      <c r="G11" s="4">
        <f>IFERROR(IF(AND(D11="",E11=""),"Yes",IF(AND(ISNUMBER(D11),ISNUMBER(E11)),IF(ABS(E11-D11)&lt;=1E-9*MAX(1,ABS(D11)),"Yes","No"),IF(EXACT(D11,E11),"Yes","No"))),"No")</f>
        <v/>
      </c>
    </row>
    <row r="12">
      <c r="A12" s="4" t="inlineStr">
        <is>
          <t>Register</t>
        </is>
      </c>
      <c r="B12" s="4" t="inlineStr">
        <is>
          <t>S02 Targeted job advertising: class</t>
        </is>
      </c>
      <c r="D12" s="5" t="inlineStr">
        <is>
          <t>High-risk</t>
        </is>
      </c>
      <c r="E12" s="6">
        <f>Register!W6</f>
        <v/>
      </c>
      <c r="F12" s="4">
        <f>IF(AND(ISNUMBER(D12),ISNUMBER(E12)),E12-D12,"")</f>
        <v/>
      </c>
      <c r="G12" s="4">
        <f>IFERROR(IF(AND(D12="",E12=""),"Yes",IF(AND(ISNUMBER(D12),ISNUMBER(E12)),IF(ABS(E12-D12)&lt;=1E-9*MAX(1,ABS(D12)),"Yes","No"),IF(EXACT(D12,E12),"Yes","No"))),"No")</f>
        <v/>
      </c>
    </row>
    <row r="13">
      <c r="A13" s="4" t="inlineStr">
        <is>
          <t>Register</t>
        </is>
      </c>
      <c r="B13" s="4" t="inlineStr">
        <is>
          <t>S02 Targeted job advertising: role</t>
        </is>
      </c>
      <c r="D13" s="5" t="inlineStr">
        <is>
          <t>Deployer</t>
        </is>
      </c>
      <c r="E13" s="6">
        <f>Register!X6</f>
        <v/>
      </c>
      <c r="F13" s="4">
        <f>IF(AND(ISNUMBER(D13),ISNUMBER(E13)),E13-D13,"")</f>
        <v/>
      </c>
      <c r="G13" s="4">
        <f>IFERROR(IF(AND(D13="",E13=""),"Yes",IF(AND(ISNUMBER(D13),ISNUMBER(E13)),IF(ABS(E13-D13)&lt;=1E-9*MAX(1,ABS(D13)),"Yes","No"),IF(EXACT(D13,E13),"Yes","No"))),"No")</f>
        <v/>
      </c>
    </row>
    <row r="14">
      <c r="A14" s="4" t="inlineStr">
        <is>
          <t>Register</t>
        </is>
      </c>
      <c r="B14" s="4" t="inlineStr">
        <is>
          <t>S02 Targeted job advertising: high-risk timing</t>
        </is>
      </c>
      <c r="D14" s="5" t="inlineStr">
        <is>
          <t>At its next significant design change</t>
        </is>
      </c>
      <c r="E14" s="6">
        <f>Register!Y6</f>
        <v/>
      </c>
      <c r="F14" s="4">
        <f>IF(AND(ISNUMBER(D14),ISNUMBER(E14)),E14-D14,"")</f>
        <v/>
      </c>
      <c r="G14" s="4">
        <f>IFERROR(IF(AND(D14="",E14=""),"Yes",IF(AND(ISNUMBER(D14),ISNUMBER(E14)),IF(ABS(E14-D14)&lt;=1E-9*MAX(1,ABS(D14)),"Yes","No"),IF(EXACT(D14,E14),"Yes","No"))),"No")</f>
        <v/>
      </c>
    </row>
    <row r="15">
      <c r="A15" s="4" t="inlineStr">
        <is>
          <t>Register</t>
        </is>
      </c>
      <c r="B15" s="4" t="inlineStr">
        <is>
          <t>S02 Targeted job advertising: workers in scope</t>
        </is>
      </c>
      <c r="D15" s="5" t="n">
        <v>3443</v>
      </c>
      <c r="E15" s="6">
        <f>Register!V6</f>
        <v/>
      </c>
      <c r="F15" s="4">
        <f>IF(AND(ISNUMBER(D15),ISNUMBER(E15)),E15-D15,"")</f>
        <v/>
      </c>
      <c r="G15" s="4">
        <f>IFERROR(IF(AND(D15="",E15=""),"Yes",IF(AND(ISNUMBER(D15),ISNUMBER(E15)),IF(ABS(E15-D15)&lt;=1E-9*MAX(1,ABS(D15)),"Yes","No"),IF(EXACT(D15,E15),"Yes","No"))),"No")</f>
        <v/>
      </c>
    </row>
    <row r="16">
      <c r="A16" s="4" t="inlineStr">
        <is>
          <t>Register</t>
        </is>
      </c>
      <c r="B16" s="4" t="inlineStr">
        <is>
          <t>S03 Video interview analysis: class</t>
        </is>
      </c>
      <c r="D16" s="5" t="inlineStr">
        <is>
          <t>Prohibited</t>
        </is>
      </c>
      <c r="E16" s="6">
        <f>Register!W7</f>
        <v/>
      </c>
      <c r="F16" s="4">
        <f>IF(AND(ISNUMBER(D16),ISNUMBER(E16)),E16-D16,"")</f>
        <v/>
      </c>
      <c r="G16" s="4">
        <f>IFERROR(IF(AND(D16="",E16=""),"Yes",IF(AND(ISNUMBER(D16),ISNUMBER(E16)),IF(ABS(E16-D16)&lt;=1E-9*MAX(1,ABS(D16)),"Yes","No"),IF(EXACT(D16,E16),"Yes","No"))),"No")</f>
        <v/>
      </c>
    </row>
    <row r="17">
      <c r="A17" s="4" t="inlineStr">
        <is>
          <t>Register</t>
        </is>
      </c>
      <c r="B17" s="4" t="inlineStr">
        <is>
          <t>S03 Video interview analysis: role</t>
        </is>
      </c>
      <c r="D17" s="5" t="inlineStr">
        <is>
          <t>Deployer</t>
        </is>
      </c>
      <c r="E17" s="6">
        <f>Register!X7</f>
        <v/>
      </c>
      <c r="F17" s="4">
        <f>IF(AND(ISNUMBER(D17),ISNUMBER(E17)),E17-D17,"")</f>
        <v/>
      </c>
      <c r="G17" s="4">
        <f>IFERROR(IF(AND(D17="",E17=""),"Yes",IF(AND(ISNUMBER(D17),ISNUMBER(E17)),IF(ABS(E17-D17)&lt;=1E-9*MAX(1,ABS(D17)),"Yes","No"),IF(EXACT(D17,E17),"Yes","No"))),"No")</f>
        <v/>
      </c>
    </row>
    <row r="18">
      <c r="A18" s="4" t="inlineStr">
        <is>
          <t>Register</t>
        </is>
      </c>
      <c r="B18" s="4" t="inlineStr">
        <is>
          <t>S03 Video interview analysis: high-risk timing</t>
        </is>
      </c>
      <c r="D18" s="5" t="n"/>
      <c r="E18" s="6">
        <f>Register!Y7</f>
        <v/>
      </c>
      <c r="F18" s="4">
        <f>IF(AND(ISNUMBER(D18),ISNUMBER(E18)),E18-D18,"")</f>
        <v/>
      </c>
      <c r="G18" s="4">
        <f>IFERROR(IF(AND(D18="",E18=""),"Yes",IF(AND(ISNUMBER(D18),ISNUMBER(E18)),IF(ABS(E18-D18)&lt;=1E-9*MAX(1,ABS(D18)),"Yes","No"),IF(EXACT(D18,E18),"Yes","No"))),"No")</f>
        <v/>
      </c>
    </row>
    <row r="19">
      <c r="A19" s="4" t="inlineStr">
        <is>
          <t>Register</t>
        </is>
      </c>
      <c r="B19" s="4" t="inlineStr">
        <is>
          <t>S03 Video interview analysis: workers in scope</t>
        </is>
      </c>
      <c r="D19" s="5" t="n">
        <v>493</v>
      </c>
      <c r="E19" s="6">
        <f>Register!V7</f>
        <v/>
      </c>
      <c r="F19" s="4">
        <f>IF(AND(ISNUMBER(D19),ISNUMBER(E19)),E19-D19,"")</f>
        <v/>
      </c>
      <c r="G19" s="4">
        <f>IFERROR(IF(AND(D19="",E19=""),"Yes",IF(AND(ISNUMBER(D19),ISNUMBER(E19)),IF(ABS(E19-D19)&lt;=1E-9*MAX(1,ABS(D19)),"Yes","No"),IF(EXACT(D19,E19),"Yes","No"))),"No")</f>
        <v/>
      </c>
    </row>
    <row r="20">
      <c r="A20" s="4" t="inlineStr">
        <is>
          <t>Register</t>
        </is>
      </c>
      <c r="B20" s="4" t="inlineStr">
        <is>
          <t>S04 Interview scheduling assistant: class</t>
        </is>
      </c>
      <c r="D20" s="5" t="inlineStr">
        <is>
          <t>Not high-risk (Art. 6(3))</t>
        </is>
      </c>
      <c r="E20" s="6">
        <f>Register!W8</f>
        <v/>
      </c>
      <c r="F20" s="4">
        <f>IF(AND(ISNUMBER(D20),ISNUMBER(E20)),E20-D20,"")</f>
        <v/>
      </c>
      <c r="G20" s="4">
        <f>IFERROR(IF(AND(D20="",E20=""),"Yes",IF(AND(ISNUMBER(D20),ISNUMBER(E20)),IF(ABS(E20-D20)&lt;=1E-9*MAX(1,ABS(D20)),"Yes","No"),IF(EXACT(D20,E20),"Yes","No"))),"No")</f>
        <v/>
      </c>
    </row>
    <row r="21">
      <c r="A21" s="4" t="inlineStr">
        <is>
          <t>Register</t>
        </is>
      </c>
      <c r="B21" s="4" t="inlineStr">
        <is>
          <t>S04 Interview scheduling assistant: role</t>
        </is>
      </c>
      <c r="D21" s="5" t="inlineStr">
        <is>
          <t>Deployer</t>
        </is>
      </c>
      <c r="E21" s="6">
        <f>Register!X8</f>
        <v/>
      </c>
      <c r="F21" s="4">
        <f>IF(AND(ISNUMBER(D21),ISNUMBER(E21)),E21-D21,"")</f>
        <v/>
      </c>
      <c r="G21" s="4">
        <f>IFERROR(IF(AND(D21="",E21=""),"Yes",IF(AND(ISNUMBER(D21),ISNUMBER(E21)),IF(ABS(E21-D21)&lt;=1E-9*MAX(1,ABS(D21)),"Yes","No"),IF(EXACT(D21,E21),"Yes","No"))),"No")</f>
        <v/>
      </c>
    </row>
    <row r="22">
      <c r="A22" s="4" t="inlineStr">
        <is>
          <t>Register</t>
        </is>
      </c>
      <c r="B22" s="4" t="inlineStr">
        <is>
          <t>S04 Interview scheduling assistant: high-risk timing</t>
        </is>
      </c>
      <c r="D22" s="5" t="n"/>
      <c r="E22" s="6">
        <f>Register!Y8</f>
        <v/>
      </c>
      <c r="F22" s="4">
        <f>IF(AND(ISNUMBER(D22),ISNUMBER(E22)),E22-D22,"")</f>
        <v/>
      </c>
      <c r="G22" s="4">
        <f>IFERROR(IF(AND(D22="",E22=""),"Yes",IF(AND(ISNUMBER(D22),ISNUMBER(E22)),IF(ABS(E22-D22)&lt;=1E-9*MAX(1,ABS(D22)),"Yes","No"),IF(EXACT(D22,E22),"Yes","No"))),"No")</f>
        <v/>
      </c>
    </row>
    <row r="23">
      <c r="A23" s="4" t="inlineStr">
        <is>
          <t>Register</t>
        </is>
      </c>
      <c r="B23" s="4" t="inlineStr">
        <is>
          <t>S04 Interview scheduling assistant: workers in scope</t>
        </is>
      </c>
      <c r="D23" s="5" t="n">
        <v>3443</v>
      </c>
      <c r="E23" s="6">
        <f>Register!V8</f>
        <v/>
      </c>
      <c r="F23" s="4">
        <f>IF(AND(ISNUMBER(D23),ISNUMBER(E23)),E23-D23,"")</f>
        <v/>
      </c>
      <c r="G23" s="4">
        <f>IFERROR(IF(AND(D23="",E23=""),"Yes",IF(AND(ISNUMBER(D23),ISNUMBER(E23)),IF(ABS(E23-D23)&lt;=1E-9*MAX(1,ABS(D23)),"Yes","No"),IF(EXACT(D23,E23),"Yes","No"))),"No")</f>
        <v/>
      </c>
    </row>
    <row r="24">
      <c r="A24" s="4" t="inlineStr">
        <is>
          <t>Register</t>
        </is>
      </c>
      <c r="B24" s="4" t="inlineStr">
        <is>
          <t>S05 Customer service performance analytics: class</t>
        </is>
      </c>
      <c r="D24" s="5" t="inlineStr">
        <is>
          <t>High-risk</t>
        </is>
      </c>
      <c r="E24" s="6">
        <f>Register!W9</f>
        <v/>
      </c>
      <c r="F24" s="4">
        <f>IF(AND(ISNUMBER(D24),ISNUMBER(E24)),E24-D24,"")</f>
        <v/>
      </c>
      <c r="G24" s="4">
        <f>IFERROR(IF(AND(D24="",E24=""),"Yes",IF(AND(ISNUMBER(D24),ISNUMBER(E24)),IF(ABS(E24-D24)&lt;=1E-9*MAX(1,ABS(D24)),"Yes","No"),IF(EXACT(D24,E24),"Yes","No"))),"No")</f>
        <v/>
      </c>
    </row>
    <row r="25">
      <c r="A25" s="4" t="inlineStr">
        <is>
          <t>Register</t>
        </is>
      </c>
      <c r="B25" s="4" t="inlineStr">
        <is>
          <t>S05 Customer service performance analytics: role</t>
        </is>
      </c>
      <c r="D25" s="5" t="inlineStr">
        <is>
          <t>Deployer</t>
        </is>
      </c>
      <c r="E25" s="6">
        <f>Register!X9</f>
        <v/>
      </c>
      <c r="F25" s="4">
        <f>IF(AND(ISNUMBER(D25),ISNUMBER(E25)),E25-D25,"")</f>
        <v/>
      </c>
      <c r="G25" s="4">
        <f>IFERROR(IF(AND(D25="",E25=""),"Yes",IF(AND(ISNUMBER(D25),ISNUMBER(E25)),IF(ABS(E25-D25)&lt;=1E-9*MAX(1,ABS(D25)),"Yes","No"),IF(EXACT(D25,E25),"Yes","No"))),"No")</f>
        <v/>
      </c>
    </row>
    <row r="26">
      <c r="A26" s="4" t="inlineStr">
        <is>
          <t>Register</t>
        </is>
      </c>
      <c r="B26" s="4" t="inlineStr">
        <is>
          <t>S05 Customer service performance analytics: high-risk timing</t>
        </is>
      </c>
      <c r="D26" s="5" t="inlineStr">
        <is>
          <t>At its next significant design change</t>
        </is>
      </c>
      <c r="E26" s="6">
        <f>Register!Y9</f>
        <v/>
      </c>
      <c r="F26" s="4">
        <f>IF(AND(ISNUMBER(D26),ISNUMBER(E26)),E26-D26,"")</f>
        <v/>
      </c>
      <c r="G26" s="4">
        <f>IFERROR(IF(AND(D26="",E26=""),"Yes",IF(AND(ISNUMBER(D26),ISNUMBER(E26)),IF(ABS(E26-D26)&lt;=1E-9*MAX(1,ABS(D26)),"Yes","No"),IF(EXACT(D26,E26),"Yes","No"))),"No")</f>
        <v/>
      </c>
    </row>
    <row r="27">
      <c r="A27" s="4" t="inlineStr">
        <is>
          <t>Register</t>
        </is>
      </c>
      <c r="B27" s="4" t="inlineStr">
        <is>
          <t>S05 Customer service performance analytics: workers in scope</t>
        </is>
      </c>
      <c r="D27" s="5" t="n">
        <v>996</v>
      </c>
      <c r="E27" s="6">
        <f>Register!V9</f>
        <v/>
      </c>
      <c r="F27" s="4">
        <f>IF(AND(ISNUMBER(D27),ISNUMBER(E27)),E27-D27,"")</f>
        <v/>
      </c>
      <c r="G27" s="4">
        <f>IFERROR(IF(AND(D27="",E27=""),"Yes",IF(AND(ISNUMBER(D27),ISNUMBER(E27)),IF(ABS(E27-D27)&lt;=1E-9*MAX(1,ABS(D27)),"Yes","No"),IF(EXACT(D27,E27),"Yes","No"))),"No")</f>
        <v/>
      </c>
    </row>
    <row r="28">
      <c r="A28" s="4" t="inlineStr">
        <is>
          <t>Register</t>
        </is>
      </c>
      <c r="B28" s="4" t="inlineStr">
        <is>
          <t>S06 Shift scheduling optimiser: class</t>
        </is>
      </c>
      <c r="D28" s="5" t="inlineStr">
        <is>
          <t>High-risk</t>
        </is>
      </c>
      <c r="E28" s="6">
        <f>Register!W10</f>
        <v/>
      </c>
      <c r="F28" s="4">
        <f>IF(AND(ISNUMBER(D28),ISNUMBER(E28)),E28-D28,"")</f>
        <v/>
      </c>
      <c r="G28" s="4">
        <f>IFERROR(IF(AND(D28="",E28=""),"Yes",IF(AND(ISNUMBER(D28),ISNUMBER(E28)),IF(ABS(E28-D28)&lt;=1E-9*MAX(1,ABS(D28)),"Yes","No"),IF(EXACT(D28,E28),"Yes","No"))),"No")</f>
        <v/>
      </c>
    </row>
    <row r="29">
      <c r="A29" s="4" t="inlineStr">
        <is>
          <t>Register</t>
        </is>
      </c>
      <c r="B29" s="4" t="inlineStr">
        <is>
          <t>S06 Shift scheduling optimiser: role</t>
        </is>
      </c>
      <c r="D29" s="5" t="inlineStr">
        <is>
          <t>Deployer</t>
        </is>
      </c>
      <c r="E29" s="6">
        <f>Register!X10</f>
        <v/>
      </c>
      <c r="F29" s="4">
        <f>IF(AND(ISNUMBER(D29),ISNUMBER(E29)),E29-D29,"")</f>
        <v/>
      </c>
      <c r="G29" s="4">
        <f>IFERROR(IF(AND(D29="",E29=""),"Yes",IF(AND(ISNUMBER(D29),ISNUMBER(E29)),IF(ABS(E29-D29)&lt;=1E-9*MAX(1,ABS(D29)),"Yes","No"),IF(EXACT(D29,E29),"Yes","No"))),"No")</f>
        <v/>
      </c>
    </row>
    <row r="30">
      <c r="A30" s="4" t="inlineStr">
        <is>
          <t>Register</t>
        </is>
      </c>
      <c r="B30" s="4" t="inlineStr">
        <is>
          <t>S06 Shift scheduling optimiser: high-risk timing</t>
        </is>
      </c>
      <c r="D30" s="5" t="inlineStr">
        <is>
          <t>At its next significant design change</t>
        </is>
      </c>
      <c r="E30" s="6">
        <f>Register!Y10</f>
        <v/>
      </c>
      <c r="F30" s="4">
        <f>IF(AND(ISNUMBER(D30),ISNUMBER(E30)),E30-D30,"")</f>
        <v/>
      </c>
      <c r="G30" s="4">
        <f>IFERROR(IF(AND(D30="",E30=""),"Yes",IF(AND(ISNUMBER(D30),ISNUMBER(E30)),IF(ABS(E30-D30)&lt;=1E-9*MAX(1,ABS(D30)),"Yes","No"),IF(EXACT(D30,E30),"Yes","No"))),"No")</f>
        <v/>
      </c>
    </row>
    <row r="31">
      <c r="A31" s="4" t="inlineStr">
        <is>
          <t>Register</t>
        </is>
      </c>
      <c r="B31" s="4" t="inlineStr">
        <is>
          <t>S06 Shift scheduling optimiser: workers in scope</t>
        </is>
      </c>
      <c r="D31" s="5" t="n">
        <v>851</v>
      </c>
      <c r="E31" s="6">
        <f>Register!V10</f>
        <v/>
      </c>
      <c r="F31" s="4">
        <f>IF(AND(ISNUMBER(D31),ISNUMBER(E31)),E31-D31,"")</f>
        <v/>
      </c>
      <c r="G31" s="4">
        <f>IFERROR(IF(AND(D31="",E31=""),"Yes",IF(AND(ISNUMBER(D31),ISNUMBER(E31)),IF(ABS(E31-D31)&lt;=1E-9*MAX(1,ABS(D31)),"Yes","No"),IF(EXACT(D31,E31),"Yes","No"))),"No")</f>
        <v/>
      </c>
    </row>
    <row r="32">
      <c r="A32" s="4" t="inlineStr">
        <is>
          <t>Register</t>
        </is>
      </c>
      <c r="B32" s="4" t="inlineStr">
        <is>
          <t>S07 Attrition-risk model: class</t>
        </is>
      </c>
      <c r="D32" s="5" t="inlineStr">
        <is>
          <t>High-risk</t>
        </is>
      </c>
      <c r="E32" s="6">
        <f>Register!W11</f>
        <v/>
      </c>
      <c r="F32" s="4">
        <f>IF(AND(ISNUMBER(D32),ISNUMBER(E32)),E32-D32,"")</f>
        <v/>
      </c>
      <c r="G32" s="4">
        <f>IFERROR(IF(AND(D32="",E32=""),"Yes",IF(AND(ISNUMBER(D32),ISNUMBER(E32)),IF(ABS(E32-D32)&lt;=1E-9*MAX(1,ABS(D32)),"Yes","No"),IF(EXACT(D32,E32),"Yes","No"))),"No")</f>
        <v/>
      </c>
    </row>
    <row r="33">
      <c r="A33" s="4" t="inlineStr">
        <is>
          <t>Register</t>
        </is>
      </c>
      <c r="B33" s="4" t="inlineStr">
        <is>
          <t>S07 Attrition-risk model: role</t>
        </is>
      </c>
      <c r="D33" s="5" t="inlineStr">
        <is>
          <t>Provider and deployer</t>
        </is>
      </c>
      <c r="E33" s="6">
        <f>Register!X11</f>
        <v/>
      </c>
      <c r="F33" s="4">
        <f>IF(AND(ISNUMBER(D33),ISNUMBER(E33)),E33-D33,"")</f>
        <v/>
      </c>
      <c r="G33" s="4">
        <f>IFERROR(IF(AND(D33="",E33=""),"Yes",IF(AND(ISNUMBER(D33),ISNUMBER(E33)),IF(ABS(E33-D33)&lt;=1E-9*MAX(1,ABS(D33)),"Yes","No"),IF(EXACT(D33,E33),"Yes","No"))),"No")</f>
        <v/>
      </c>
    </row>
    <row r="34">
      <c r="A34" s="4" t="inlineStr">
        <is>
          <t>Register</t>
        </is>
      </c>
      <c r="B34" s="4" t="inlineStr">
        <is>
          <t>S07 Attrition-risk model: high-risk timing</t>
        </is>
      </c>
      <c r="D34" s="5" t="inlineStr">
        <is>
          <t>At its next significant design change</t>
        </is>
      </c>
      <c r="E34" s="6">
        <f>Register!Y11</f>
        <v/>
      </c>
      <c r="F34" s="4">
        <f>IF(AND(ISNUMBER(D34),ISNUMBER(E34)),E34-D34,"")</f>
        <v/>
      </c>
      <c r="G34" s="4">
        <f>IFERROR(IF(AND(D34="",E34=""),"Yes",IF(AND(ISNUMBER(D34),ISNUMBER(E34)),IF(ABS(E34-D34)&lt;=1E-9*MAX(1,ABS(D34)),"Yes","No"),IF(EXACT(D34,E34),"Yes","No"))),"No")</f>
        <v/>
      </c>
    </row>
    <row r="35">
      <c r="A35" s="4" t="inlineStr">
        <is>
          <t>Register</t>
        </is>
      </c>
      <c r="B35" s="4" t="inlineStr">
        <is>
          <t>S07 Attrition-risk model: workers in scope</t>
        </is>
      </c>
      <c r="D35" s="5" t="n">
        <v>3443</v>
      </c>
      <c r="E35" s="6">
        <f>Register!V11</f>
        <v/>
      </c>
      <c r="F35" s="4">
        <f>IF(AND(ISNUMBER(D35),ISNUMBER(E35)),E35-D35,"")</f>
        <v/>
      </c>
      <c r="G35" s="4">
        <f>IFERROR(IF(AND(D35="",E35=""),"Yes",IF(AND(ISNUMBER(D35),ISNUMBER(E35)),IF(ABS(E35-D35)&lt;=1E-9*MAX(1,ABS(D35)),"Yes","No"),IF(EXACT(D35,E35),"Yes","No"))),"No")</f>
        <v/>
      </c>
    </row>
    <row r="36">
      <c r="A36" s="4" t="inlineStr">
        <is>
          <t>Register</t>
        </is>
      </c>
      <c r="B36" s="4" t="inlineStr">
        <is>
          <t>S08 Pay review recommender: class</t>
        </is>
      </c>
      <c r="D36" s="5" t="inlineStr">
        <is>
          <t>High-risk</t>
        </is>
      </c>
      <c r="E36" s="6">
        <f>Register!W12</f>
        <v/>
      </c>
      <c r="F36" s="4">
        <f>IF(AND(ISNUMBER(D36),ISNUMBER(E36)),E36-D36,"")</f>
        <v/>
      </c>
      <c r="G36" s="4">
        <f>IFERROR(IF(AND(D36="",E36=""),"Yes",IF(AND(ISNUMBER(D36),ISNUMBER(E36)),IF(ABS(E36-D36)&lt;=1E-9*MAX(1,ABS(D36)),"Yes","No"),IF(EXACT(D36,E36),"Yes","No"))),"No")</f>
        <v/>
      </c>
    </row>
    <row r="37">
      <c r="A37" s="4" t="inlineStr">
        <is>
          <t>Register</t>
        </is>
      </c>
      <c r="B37" s="4" t="inlineStr">
        <is>
          <t>S08 Pay review recommender: role</t>
        </is>
      </c>
      <c r="D37" s="5" t="inlineStr">
        <is>
          <t>Deployer</t>
        </is>
      </c>
      <c r="E37" s="6">
        <f>Register!X12</f>
        <v/>
      </c>
      <c r="F37" s="4">
        <f>IF(AND(ISNUMBER(D37),ISNUMBER(E37)),E37-D37,"")</f>
        <v/>
      </c>
      <c r="G37" s="4">
        <f>IFERROR(IF(AND(D37="",E37=""),"Yes",IF(AND(ISNUMBER(D37),ISNUMBER(E37)),IF(ABS(E37-D37)&lt;=1E-9*MAX(1,ABS(D37)),"Yes","No"),IF(EXACT(D37,E37),"Yes","No"))),"No")</f>
        <v/>
      </c>
    </row>
    <row r="38">
      <c r="A38" s="4" t="inlineStr">
        <is>
          <t>Register</t>
        </is>
      </c>
      <c r="B38" s="4" t="inlineStr">
        <is>
          <t>S08 Pay review recommender: high-risk timing</t>
        </is>
      </c>
      <c r="D38" s="5" t="inlineStr">
        <is>
          <t>At its next significant design change</t>
        </is>
      </c>
      <c r="E38" s="6">
        <f>Register!Y12</f>
        <v/>
      </c>
      <c r="F38" s="4">
        <f>IF(AND(ISNUMBER(D38),ISNUMBER(E38)),E38-D38,"")</f>
        <v/>
      </c>
      <c r="G38" s="4">
        <f>IFERROR(IF(AND(D38="",E38=""),"Yes",IF(AND(ISNUMBER(D38),ISNUMBER(E38)),IF(ABS(E38-D38)&lt;=1E-9*MAX(1,ABS(D38)),"Yes","No"),IF(EXACT(D38,E38),"Yes","No"))),"No")</f>
        <v/>
      </c>
    </row>
    <row r="39">
      <c r="A39" s="4" t="inlineStr">
        <is>
          <t>Register</t>
        </is>
      </c>
      <c r="B39" s="4" t="inlineStr">
        <is>
          <t>S08 Pay review recommender: workers in scope</t>
        </is>
      </c>
      <c r="D39" s="5" t="n">
        <v>3443</v>
      </c>
      <c r="E39" s="6">
        <f>Register!V12</f>
        <v/>
      </c>
      <c r="F39" s="4">
        <f>IF(AND(ISNUMBER(D39),ISNUMBER(E39)),E39-D39,"")</f>
        <v/>
      </c>
      <c r="G39" s="4">
        <f>IFERROR(IF(AND(D39="",E39=""),"Yes",IF(AND(ISNUMBER(D39),ISNUMBER(E39)),IF(ABS(E39-D39)&lt;=1E-9*MAX(1,ABS(D39)),"Yes","No"),IF(EXACT(D39,E39),"Yes","No"))),"No")</f>
        <v/>
      </c>
    </row>
    <row r="40">
      <c r="A40" s="4" t="inlineStr">
        <is>
          <t>Register</t>
        </is>
      </c>
      <c r="B40" s="4" t="inlineStr">
        <is>
          <t>S09 HR service chatbot: class</t>
        </is>
      </c>
      <c r="D40" s="5" t="inlineStr">
        <is>
          <t>Transparency only</t>
        </is>
      </c>
      <c r="E40" s="6">
        <f>Register!W13</f>
        <v/>
      </c>
      <c r="F40" s="4">
        <f>IF(AND(ISNUMBER(D40),ISNUMBER(E40)),E40-D40,"")</f>
        <v/>
      </c>
      <c r="G40" s="4">
        <f>IFERROR(IF(AND(D40="",E40=""),"Yes",IF(AND(ISNUMBER(D40),ISNUMBER(E40)),IF(ABS(E40-D40)&lt;=1E-9*MAX(1,ABS(D40)),"Yes","No"),IF(EXACT(D40,E40),"Yes","No"))),"No")</f>
        <v/>
      </c>
    </row>
    <row r="41">
      <c r="A41" s="4" t="inlineStr">
        <is>
          <t>Register</t>
        </is>
      </c>
      <c r="B41" s="4" t="inlineStr">
        <is>
          <t>S09 HR service chatbot: role</t>
        </is>
      </c>
      <c r="D41" s="5" t="inlineStr">
        <is>
          <t>Deployer</t>
        </is>
      </c>
      <c r="E41" s="6">
        <f>Register!X13</f>
        <v/>
      </c>
      <c r="F41" s="4">
        <f>IF(AND(ISNUMBER(D41),ISNUMBER(E41)),E41-D41,"")</f>
        <v/>
      </c>
      <c r="G41" s="4">
        <f>IFERROR(IF(AND(D41="",E41=""),"Yes",IF(AND(ISNUMBER(D41),ISNUMBER(E41)),IF(ABS(E41-D41)&lt;=1E-9*MAX(1,ABS(D41)),"Yes","No"),IF(EXACT(D41,E41),"Yes","No"))),"No")</f>
        <v/>
      </c>
    </row>
    <row r="42">
      <c r="A42" s="4" t="inlineStr">
        <is>
          <t>Register</t>
        </is>
      </c>
      <c r="B42" s="4" t="inlineStr">
        <is>
          <t>S09 HR service chatbot: high-risk timing</t>
        </is>
      </c>
      <c r="D42" s="5" t="n"/>
      <c r="E42" s="6">
        <f>Register!Y13</f>
        <v/>
      </c>
      <c r="F42" s="4">
        <f>IF(AND(ISNUMBER(D42),ISNUMBER(E42)),E42-D42,"")</f>
        <v/>
      </c>
      <c r="G42" s="4">
        <f>IFERROR(IF(AND(D42="",E42=""),"Yes",IF(AND(ISNUMBER(D42),ISNUMBER(E42)),IF(ABS(E42-D42)&lt;=1E-9*MAX(1,ABS(D42)),"Yes","No"),IF(EXACT(D42,E42),"Yes","No"))),"No")</f>
        <v/>
      </c>
    </row>
    <row r="43">
      <c r="A43" s="4" t="inlineStr">
        <is>
          <t>Register</t>
        </is>
      </c>
      <c r="B43" s="4" t="inlineStr">
        <is>
          <t>S09 HR service chatbot: workers in scope</t>
        </is>
      </c>
      <c r="D43" s="5" t="n">
        <v>3443</v>
      </c>
      <c r="E43" s="6">
        <f>Register!V13</f>
        <v/>
      </c>
      <c r="F43" s="4">
        <f>IF(AND(ISNUMBER(D43),ISNUMBER(E43)),E43-D43,"")</f>
        <v/>
      </c>
      <c r="G43" s="4">
        <f>IFERROR(IF(AND(D43="",E43=""),"Yes",IF(AND(ISNUMBER(D43),ISNUMBER(E43)),IF(ABS(E43-D43)&lt;=1E-9*MAX(1,ABS(D43)),"Yes","No"),IF(EXACT(D43,E43),"Yes","No"))),"No")</f>
        <v/>
      </c>
    </row>
    <row r="44">
      <c r="A44" s="4" t="inlineStr">
        <is>
          <t>Register</t>
        </is>
      </c>
      <c r="B44" s="4" t="inlineStr">
        <is>
          <t>S10 Learning recommendations: class</t>
        </is>
      </c>
      <c r="D44" s="5" t="inlineStr">
        <is>
          <t>Minimal risk</t>
        </is>
      </c>
      <c r="E44" s="6">
        <f>Register!W14</f>
        <v/>
      </c>
      <c r="F44" s="4">
        <f>IF(AND(ISNUMBER(D44),ISNUMBER(E44)),E44-D44,"")</f>
        <v/>
      </c>
      <c r="G44" s="4">
        <f>IFERROR(IF(AND(D44="",E44=""),"Yes",IF(AND(ISNUMBER(D44),ISNUMBER(E44)),IF(ABS(E44-D44)&lt;=1E-9*MAX(1,ABS(D44)),"Yes","No"),IF(EXACT(D44,E44),"Yes","No"))),"No")</f>
        <v/>
      </c>
    </row>
    <row r="45">
      <c r="A45" s="4" t="inlineStr">
        <is>
          <t>Register</t>
        </is>
      </c>
      <c r="B45" s="4" t="inlineStr">
        <is>
          <t>S10 Learning recommendations: role</t>
        </is>
      </c>
      <c r="D45" s="5" t="inlineStr">
        <is>
          <t>Deployer</t>
        </is>
      </c>
      <c r="E45" s="6">
        <f>Register!X14</f>
        <v/>
      </c>
      <c r="F45" s="4">
        <f>IF(AND(ISNUMBER(D45),ISNUMBER(E45)),E45-D45,"")</f>
        <v/>
      </c>
      <c r="G45" s="4">
        <f>IFERROR(IF(AND(D45="",E45=""),"Yes",IF(AND(ISNUMBER(D45),ISNUMBER(E45)),IF(ABS(E45-D45)&lt;=1E-9*MAX(1,ABS(D45)),"Yes","No"),IF(EXACT(D45,E45),"Yes","No"))),"No")</f>
        <v/>
      </c>
    </row>
    <row r="46">
      <c r="A46" s="4" t="inlineStr">
        <is>
          <t>Register</t>
        </is>
      </c>
      <c r="B46" s="4" t="inlineStr">
        <is>
          <t>S10 Learning recommendations: high-risk timing</t>
        </is>
      </c>
      <c r="D46" s="5" t="n"/>
      <c r="E46" s="6">
        <f>Register!Y14</f>
        <v/>
      </c>
      <c r="F46" s="4">
        <f>IF(AND(ISNUMBER(D46),ISNUMBER(E46)),E46-D46,"")</f>
        <v/>
      </c>
      <c r="G46" s="4">
        <f>IFERROR(IF(AND(D46="",E46=""),"Yes",IF(AND(ISNUMBER(D46),ISNUMBER(E46)),IF(ABS(E46-D46)&lt;=1E-9*MAX(1,ABS(D46)),"Yes","No"),IF(EXACT(D46,E46),"Yes","No"))),"No")</f>
        <v/>
      </c>
    </row>
    <row r="47">
      <c r="A47" s="4" t="inlineStr">
        <is>
          <t>Register</t>
        </is>
      </c>
      <c r="B47" s="4" t="inlineStr">
        <is>
          <t>S10 Learning recommendations: workers in scope</t>
        </is>
      </c>
      <c r="D47" s="5" t="n">
        <v>3443</v>
      </c>
      <c r="E47" s="6">
        <f>Register!V14</f>
        <v/>
      </c>
      <c r="F47" s="4">
        <f>IF(AND(ISNUMBER(D47),ISNUMBER(E47)),E47-D47,"")</f>
        <v/>
      </c>
      <c r="G47" s="4">
        <f>IFERROR(IF(AND(D47="",E47=""),"Yes",IF(AND(ISNUMBER(D47),ISNUMBER(E47)),IF(ABS(E47-D47)&lt;=1E-9*MAX(1,ABS(D47)),"Yes","No"),IF(EXACT(D47,E47),"Yes","No"))),"No")</f>
        <v/>
      </c>
    </row>
    <row r="48">
      <c r="A48" s="4" t="inlineStr">
        <is>
          <t>Register</t>
        </is>
      </c>
      <c r="B48" s="4" t="inlineStr">
        <is>
          <t>S11 Writing and translation assistant: class</t>
        </is>
      </c>
      <c r="D48" s="5" t="inlineStr">
        <is>
          <t>Minimal risk</t>
        </is>
      </c>
      <c r="E48" s="6">
        <f>Register!W15</f>
        <v/>
      </c>
      <c r="F48" s="4">
        <f>IF(AND(ISNUMBER(D48),ISNUMBER(E48)),E48-D48,"")</f>
        <v/>
      </c>
      <c r="G48" s="4">
        <f>IFERROR(IF(AND(D48="",E48=""),"Yes",IF(AND(ISNUMBER(D48),ISNUMBER(E48)),IF(ABS(E48-D48)&lt;=1E-9*MAX(1,ABS(D48)),"Yes","No"),IF(EXACT(D48,E48),"Yes","No"))),"No")</f>
        <v/>
      </c>
    </row>
    <row r="49">
      <c r="A49" s="4" t="inlineStr">
        <is>
          <t>Register</t>
        </is>
      </c>
      <c r="B49" s="4" t="inlineStr">
        <is>
          <t>S11 Writing and translation assistant: role</t>
        </is>
      </c>
      <c r="D49" s="5" t="inlineStr">
        <is>
          <t>Deployer</t>
        </is>
      </c>
      <c r="E49" s="6">
        <f>Register!X15</f>
        <v/>
      </c>
      <c r="F49" s="4">
        <f>IF(AND(ISNUMBER(D49),ISNUMBER(E49)),E49-D49,"")</f>
        <v/>
      </c>
      <c r="G49" s="4">
        <f>IFERROR(IF(AND(D49="",E49=""),"Yes",IF(AND(ISNUMBER(D49),ISNUMBER(E49)),IF(ABS(E49-D49)&lt;=1E-9*MAX(1,ABS(D49)),"Yes","No"),IF(EXACT(D49,E49),"Yes","No"))),"No")</f>
        <v/>
      </c>
    </row>
    <row r="50">
      <c r="A50" s="4" t="inlineStr">
        <is>
          <t>Register</t>
        </is>
      </c>
      <c r="B50" s="4" t="inlineStr">
        <is>
          <t>S11 Writing and translation assistant: high-risk timing</t>
        </is>
      </c>
      <c r="D50" s="5" t="n"/>
      <c r="E50" s="6">
        <f>Register!Y15</f>
        <v/>
      </c>
      <c r="F50" s="4">
        <f>IF(AND(ISNUMBER(D50),ISNUMBER(E50)),E50-D50,"")</f>
        <v/>
      </c>
      <c r="G50" s="4">
        <f>IFERROR(IF(AND(D50="",E50=""),"Yes",IF(AND(ISNUMBER(D50),ISNUMBER(E50)),IF(ABS(E50-D50)&lt;=1E-9*MAX(1,ABS(D50)),"Yes","No"),IF(EXACT(D50,E50),"Yes","No"))),"No")</f>
        <v/>
      </c>
    </row>
    <row r="51">
      <c r="A51" s="4" t="inlineStr">
        <is>
          <t>Register</t>
        </is>
      </c>
      <c r="B51" s="4" t="inlineStr">
        <is>
          <t>S11 Writing and translation assistant: workers in scope</t>
        </is>
      </c>
      <c r="D51" s="5" t="n">
        <v>282</v>
      </c>
      <c r="E51" s="6">
        <f>Register!V15</f>
        <v/>
      </c>
      <c r="F51" s="4">
        <f>IF(AND(ISNUMBER(D51),ISNUMBER(E51)),E51-D51,"")</f>
        <v/>
      </c>
      <c r="G51" s="4">
        <f>IFERROR(IF(AND(D51="",E51=""),"Yes",IF(AND(ISNUMBER(D51),ISNUMBER(E51)),IF(ABS(E51-D51)&lt;=1E-9*MAX(1,ABS(D51)),"Yes","No"),IF(EXACT(D51,E51),"Yes","No"))),"No")</f>
        <v/>
      </c>
    </row>
    <row r="52">
      <c r="A52" s="4" t="inlineStr">
        <is>
          <t>Register</t>
        </is>
      </c>
      <c r="B52" s="4" t="inlineStr">
        <is>
          <t>S12 Internal mobility matching: class</t>
        </is>
      </c>
      <c r="D52" s="5" t="inlineStr">
        <is>
          <t>High-risk</t>
        </is>
      </c>
      <c r="E52" s="6">
        <f>Register!W16</f>
        <v/>
      </c>
      <c r="F52" s="4">
        <f>IF(AND(ISNUMBER(D52),ISNUMBER(E52)),E52-D52,"")</f>
        <v/>
      </c>
      <c r="G52" s="4">
        <f>IFERROR(IF(AND(D52="",E52=""),"Yes",IF(AND(ISNUMBER(D52),ISNUMBER(E52)),IF(ABS(E52-D52)&lt;=1E-9*MAX(1,ABS(D52)),"Yes","No"),IF(EXACT(D52,E52),"Yes","No"))),"No")</f>
        <v/>
      </c>
    </row>
    <row r="53">
      <c r="A53" s="4" t="inlineStr">
        <is>
          <t>Register</t>
        </is>
      </c>
      <c r="B53" s="4" t="inlineStr">
        <is>
          <t>S12 Internal mobility matching: role</t>
        </is>
      </c>
      <c r="D53" s="5" t="inlineStr">
        <is>
          <t>Deployer</t>
        </is>
      </c>
      <c r="E53" s="6">
        <f>Register!X16</f>
        <v/>
      </c>
      <c r="F53" s="4">
        <f>IF(AND(ISNUMBER(D53),ISNUMBER(E53)),E53-D53,"")</f>
        <v/>
      </c>
      <c r="G53" s="4">
        <f>IFERROR(IF(AND(D53="",E53=""),"Yes",IF(AND(ISNUMBER(D53),ISNUMBER(E53)),IF(ABS(E53-D53)&lt;=1E-9*MAX(1,ABS(D53)),"Yes","No"),IF(EXACT(D53,E53),"Yes","No"))),"No")</f>
        <v/>
      </c>
    </row>
    <row r="54">
      <c r="A54" s="4" t="inlineStr">
        <is>
          <t>Register</t>
        </is>
      </c>
      <c r="B54" s="4" t="inlineStr">
        <is>
          <t>S12 Internal mobility matching: high-risk timing</t>
        </is>
      </c>
      <c r="D54" s="5" t="inlineStr">
        <is>
          <t>At its next significant design change</t>
        </is>
      </c>
      <c r="E54" s="6">
        <f>Register!Y16</f>
        <v/>
      </c>
      <c r="F54" s="4">
        <f>IF(AND(ISNUMBER(D54),ISNUMBER(E54)),E54-D54,"")</f>
        <v/>
      </c>
      <c r="G54" s="4">
        <f>IFERROR(IF(AND(D54="",E54=""),"Yes",IF(AND(ISNUMBER(D54),ISNUMBER(E54)),IF(ABS(E54-D54)&lt;=1E-9*MAX(1,ABS(D54)),"Yes","No"),IF(EXACT(D54,E54),"Yes","No"))),"No")</f>
        <v/>
      </c>
    </row>
    <row r="55">
      <c r="A55" s="4" t="inlineStr">
        <is>
          <t>Register</t>
        </is>
      </c>
      <c r="B55" s="4" t="inlineStr">
        <is>
          <t>S12 Internal mobility matching: workers in scope</t>
        </is>
      </c>
      <c r="D55" s="5" t="n">
        <v>3443</v>
      </c>
      <c r="E55" s="6">
        <f>Register!V16</f>
        <v/>
      </c>
      <c r="F55" s="4">
        <f>IF(AND(ISNUMBER(D55),ISNUMBER(E55)),E55-D55,"")</f>
        <v/>
      </c>
      <c r="G55" s="4">
        <f>IFERROR(IF(AND(D55="",E55=""),"Yes",IF(AND(ISNUMBER(D55),ISNUMBER(E55)),IF(ABS(E55-D55)&lt;=1E-9*MAX(1,ABS(D55)),"Yes","No"),IF(EXACT(D55,E55),"Yes","No"))),"No")</f>
        <v/>
      </c>
    </row>
    <row r="56">
      <c r="A56" s="4" t="inlineStr">
        <is>
          <t>Obligations</t>
        </is>
      </c>
      <c r="B56" s="4" t="inlineStr">
        <is>
          <t>S01: O01</t>
        </is>
      </c>
      <c r="D56" s="5" t="inlineStr">
        <is>
          <t>Yes</t>
        </is>
      </c>
      <c r="E56" s="6">
        <f>Obligations!D6</f>
        <v/>
      </c>
      <c r="F56" s="4">
        <f>IF(AND(ISNUMBER(D56),ISNUMBER(E56)),E56-D56,"")</f>
        <v/>
      </c>
      <c r="G56" s="4">
        <f>IFERROR(IF(AND(D56="",E56=""),"Yes",IF(AND(ISNUMBER(D56),ISNUMBER(E56)),IF(ABS(E56-D56)&lt;=1E-9*MAX(1,ABS(D56)),"Yes","No"),IF(EXACT(D56,E56),"Yes","No"))),"No")</f>
        <v/>
      </c>
    </row>
    <row r="57">
      <c r="A57" s="4" t="inlineStr">
        <is>
          <t>Obligations</t>
        </is>
      </c>
      <c r="B57" s="4" t="inlineStr">
        <is>
          <t>S01: O02</t>
        </is>
      </c>
      <c r="D57" s="5" t="n"/>
      <c r="E57" s="6">
        <f>Obligations!E6</f>
        <v/>
      </c>
      <c r="F57" s="4">
        <f>IF(AND(ISNUMBER(D57),ISNUMBER(E57)),E57-D57,"")</f>
        <v/>
      </c>
      <c r="G57" s="4">
        <f>IFERROR(IF(AND(D57="",E57=""),"Yes",IF(AND(ISNUMBER(D57),ISNUMBER(E57)),IF(ABS(E57-D57)&lt;=1E-9*MAX(1,ABS(D57)),"Yes","No"),IF(EXACT(D57,E57),"Yes","No"))),"No")</f>
        <v/>
      </c>
    </row>
    <row r="58">
      <c r="A58" s="4" t="inlineStr">
        <is>
          <t>Obligations</t>
        </is>
      </c>
      <c r="B58" s="4" t="inlineStr">
        <is>
          <t>S01: O03</t>
        </is>
      </c>
      <c r="D58" s="5" t="n"/>
      <c r="E58" s="6">
        <f>Obligations!F6</f>
        <v/>
      </c>
      <c r="F58" s="4">
        <f>IF(AND(ISNUMBER(D58),ISNUMBER(E58)),E58-D58,"")</f>
        <v/>
      </c>
      <c r="G58" s="4">
        <f>IFERROR(IF(AND(D58="",E58=""),"Yes",IF(AND(ISNUMBER(D58),ISNUMBER(E58)),IF(ABS(E58-D58)&lt;=1E-9*MAX(1,ABS(D58)),"Yes","No"),IF(EXACT(D58,E58),"Yes","No"))),"No")</f>
        <v/>
      </c>
    </row>
    <row r="59">
      <c r="A59" s="4" t="inlineStr">
        <is>
          <t>Obligations</t>
        </is>
      </c>
      <c r="B59" s="4" t="inlineStr">
        <is>
          <t>S01: O04</t>
        </is>
      </c>
      <c r="D59" s="5" t="inlineStr">
        <is>
          <t>Yes</t>
        </is>
      </c>
      <c r="E59" s="6">
        <f>Obligations!G6</f>
        <v/>
      </c>
      <c r="F59" s="4">
        <f>IF(AND(ISNUMBER(D59),ISNUMBER(E59)),E59-D59,"")</f>
        <v/>
      </c>
      <c r="G59" s="4">
        <f>IFERROR(IF(AND(D59="",E59=""),"Yes",IF(AND(ISNUMBER(D59),ISNUMBER(E59)),IF(ABS(E59-D59)&lt;=1E-9*MAX(1,ABS(D59)),"Yes","No"),IF(EXACT(D59,E59),"Yes","No"))),"No")</f>
        <v/>
      </c>
    </row>
    <row r="60">
      <c r="A60" s="4" t="inlineStr">
        <is>
          <t>Obligations</t>
        </is>
      </c>
      <c r="B60" s="4" t="inlineStr">
        <is>
          <t>S01: O05</t>
        </is>
      </c>
      <c r="D60" s="5" t="inlineStr">
        <is>
          <t>Yes</t>
        </is>
      </c>
      <c r="E60" s="6">
        <f>Obligations!H6</f>
        <v/>
      </c>
      <c r="F60" s="4">
        <f>IF(AND(ISNUMBER(D60),ISNUMBER(E60)),E60-D60,"")</f>
        <v/>
      </c>
      <c r="G60" s="4">
        <f>IFERROR(IF(AND(D60="",E60=""),"Yes",IF(AND(ISNUMBER(D60),ISNUMBER(E60)),IF(ABS(E60-D60)&lt;=1E-9*MAX(1,ABS(D60)),"Yes","No"),IF(EXACT(D60,E60),"Yes","No"))),"No")</f>
        <v/>
      </c>
    </row>
    <row r="61">
      <c r="A61" s="4" t="inlineStr">
        <is>
          <t>Obligations</t>
        </is>
      </c>
      <c r="B61" s="4" t="inlineStr">
        <is>
          <t>S01: O06</t>
        </is>
      </c>
      <c r="D61" s="5" t="inlineStr">
        <is>
          <t>Yes</t>
        </is>
      </c>
      <c r="E61" s="6">
        <f>Obligations!I6</f>
        <v/>
      </c>
      <c r="F61" s="4">
        <f>IF(AND(ISNUMBER(D61),ISNUMBER(E61)),E61-D61,"")</f>
        <v/>
      </c>
      <c r="G61" s="4">
        <f>IFERROR(IF(AND(D61="",E61=""),"Yes",IF(AND(ISNUMBER(D61),ISNUMBER(E61)),IF(ABS(E61-D61)&lt;=1E-9*MAX(1,ABS(D61)),"Yes","No"),IF(EXACT(D61,E61),"Yes","No"))),"No")</f>
        <v/>
      </c>
    </row>
    <row r="62">
      <c r="A62" s="4" t="inlineStr">
        <is>
          <t>Obligations</t>
        </is>
      </c>
      <c r="B62" s="4" t="inlineStr">
        <is>
          <t>S01: O07</t>
        </is>
      </c>
      <c r="D62" s="5" t="inlineStr">
        <is>
          <t>Yes</t>
        </is>
      </c>
      <c r="E62" s="6">
        <f>Obligations!J6</f>
        <v/>
      </c>
      <c r="F62" s="4">
        <f>IF(AND(ISNUMBER(D62),ISNUMBER(E62)),E62-D62,"")</f>
        <v/>
      </c>
      <c r="G62" s="4">
        <f>IFERROR(IF(AND(D62="",E62=""),"Yes",IF(AND(ISNUMBER(D62),ISNUMBER(E62)),IF(ABS(E62-D62)&lt;=1E-9*MAX(1,ABS(D62)),"Yes","No"),IF(EXACT(D62,E62),"Yes","No"))),"No")</f>
        <v/>
      </c>
    </row>
    <row r="63">
      <c r="A63" s="4" t="inlineStr">
        <is>
          <t>Obligations</t>
        </is>
      </c>
      <c r="B63" s="4" t="inlineStr">
        <is>
          <t>S01: O08</t>
        </is>
      </c>
      <c r="D63" s="5" t="n"/>
      <c r="E63" s="6">
        <f>Obligations!K6</f>
        <v/>
      </c>
      <c r="F63" s="4">
        <f>IF(AND(ISNUMBER(D63),ISNUMBER(E63)),E63-D63,"")</f>
        <v/>
      </c>
      <c r="G63" s="4">
        <f>IFERROR(IF(AND(D63="",E63=""),"Yes",IF(AND(ISNUMBER(D63),ISNUMBER(E63)),IF(ABS(E63-D63)&lt;=1E-9*MAX(1,ABS(D63)),"Yes","No"),IF(EXACT(D63,E63),"Yes","No"))),"No")</f>
        <v/>
      </c>
    </row>
    <row r="64">
      <c r="A64" s="4" t="inlineStr">
        <is>
          <t>Obligations</t>
        </is>
      </c>
      <c r="B64" s="4" t="inlineStr">
        <is>
          <t>S01: O09</t>
        </is>
      </c>
      <c r="D64" s="5" t="inlineStr">
        <is>
          <t>Yes</t>
        </is>
      </c>
      <c r="E64" s="6">
        <f>Obligations!L6</f>
        <v/>
      </c>
      <c r="F64" s="4">
        <f>IF(AND(ISNUMBER(D64),ISNUMBER(E64)),E64-D64,"")</f>
        <v/>
      </c>
      <c r="G64" s="4">
        <f>IFERROR(IF(AND(D64="",E64=""),"Yes",IF(AND(ISNUMBER(D64),ISNUMBER(E64)),IF(ABS(E64-D64)&lt;=1E-9*MAX(1,ABS(D64)),"Yes","No"),IF(EXACT(D64,E64),"Yes","No"))),"No")</f>
        <v/>
      </c>
    </row>
    <row r="65">
      <c r="A65" s="4" t="inlineStr">
        <is>
          <t>Obligations</t>
        </is>
      </c>
      <c r="B65" s="4" t="inlineStr">
        <is>
          <t>S01: O10</t>
        </is>
      </c>
      <c r="D65" s="5" t="inlineStr">
        <is>
          <t>Yes</t>
        </is>
      </c>
      <c r="E65" s="6">
        <f>Obligations!M6</f>
        <v/>
      </c>
      <c r="F65" s="4">
        <f>IF(AND(ISNUMBER(D65),ISNUMBER(E65)),E65-D65,"")</f>
        <v/>
      </c>
      <c r="G65" s="4">
        <f>IFERROR(IF(AND(D65="",E65=""),"Yes",IF(AND(ISNUMBER(D65),ISNUMBER(E65)),IF(ABS(E65-D65)&lt;=1E-9*MAX(1,ABS(D65)),"Yes","No"),IF(EXACT(D65,E65),"Yes","No"))),"No")</f>
        <v/>
      </c>
    </row>
    <row r="66">
      <c r="A66" s="4" t="inlineStr">
        <is>
          <t>Obligations</t>
        </is>
      </c>
      <c r="B66" s="4" t="inlineStr">
        <is>
          <t>S01: O11</t>
        </is>
      </c>
      <c r="D66" s="5" t="inlineStr">
        <is>
          <t>Yes</t>
        </is>
      </c>
      <c r="E66" s="6">
        <f>Obligations!N6</f>
        <v/>
      </c>
      <c r="F66" s="4">
        <f>IF(AND(ISNUMBER(D66),ISNUMBER(E66)),E66-D66,"")</f>
        <v/>
      </c>
      <c r="G66" s="4">
        <f>IFERROR(IF(AND(D66="",E66=""),"Yes",IF(AND(ISNUMBER(D66),ISNUMBER(E66)),IF(ABS(E66-D66)&lt;=1E-9*MAX(1,ABS(D66)),"Yes","No"),IF(EXACT(D66,E66),"Yes","No"))),"No")</f>
        <v/>
      </c>
    </row>
    <row r="67">
      <c r="A67" s="4" t="inlineStr">
        <is>
          <t>Obligations</t>
        </is>
      </c>
      <c r="B67" s="4" t="inlineStr">
        <is>
          <t>S01: O12</t>
        </is>
      </c>
      <c r="D67" s="5" t="n"/>
      <c r="E67" s="6">
        <f>Obligations!O6</f>
        <v/>
      </c>
      <c r="F67" s="4">
        <f>IF(AND(ISNUMBER(D67),ISNUMBER(E67)),E67-D67,"")</f>
        <v/>
      </c>
      <c r="G67" s="4">
        <f>IFERROR(IF(AND(D67="",E67=""),"Yes",IF(AND(ISNUMBER(D67),ISNUMBER(E67)),IF(ABS(E67-D67)&lt;=1E-9*MAX(1,ABS(D67)),"Yes","No"),IF(EXACT(D67,E67),"Yes","No"))),"No")</f>
        <v/>
      </c>
    </row>
    <row r="68">
      <c r="A68" s="4" t="inlineStr">
        <is>
          <t>Obligations</t>
        </is>
      </c>
      <c r="B68" s="4" t="inlineStr">
        <is>
          <t>S01: O13</t>
        </is>
      </c>
      <c r="D68" s="5" t="n"/>
      <c r="E68" s="6">
        <f>Obligations!P6</f>
        <v/>
      </c>
      <c r="F68" s="4">
        <f>IF(AND(ISNUMBER(D68),ISNUMBER(E68)),E68-D68,"")</f>
        <v/>
      </c>
      <c r="G68" s="4">
        <f>IFERROR(IF(AND(D68="",E68=""),"Yes",IF(AND(ISNUMBER(D68),ISNUMBER(E68)),IF(ABS(E68-D68)&lt;=1E-9*MAX(1,ABS(D68)),"Yes","No"),IF(EXACT(D68,E68),"Yes","No"))),"No")</f>
        <v/>
      </c>
    </row>
    <row r="69">
      <c r="A69" s="4" t="inlineStr">
        <is>
          <t>Obligations</t>
        </is>
      </c>
      <c r="B69" s="4" t="inlineStr">
        <is>
          <t>S02: O01</t>
        </is>
      </c>
      <c r="D69" s="5" t="inlineStr">
        <is>
          <t>Yes</t>
        </is>
      </c>
      <c r="E69" s="6">
        <f>Obligations!D7</f>
        <v/>
      </c>
      <c r="F69" s="4">
        <f>IF(AND(ISNUMBER(D69),ISNUMBER(E69)),E69-D69,"")</f>
        <v/>
      </c>
      <c r="G69" s="4">
        <f>IFERROR(IF(AND(D69="",E69=""),"Yes",IF(AND(ISNUMBER(D69),ISNUMBER(E69)),IF(ABS(E69-D69)&lt;=1E-9*MAX(1,ABS(D69)),"Yes","No"),IF(EXACT(D69,E69),"Yes","No"))),"No")</f>
        <v/>
      </c>
    </row>
    <row r="70">
      <c r="A70" s="4" t="inlineStr">
        <is>
          <t>Obligations</t>
        </is>
      </c>
      <c r="B70" s="4" t="inlineStr">
        <is>
          <t>S02: O02</t>
        </is>
      </c>
      <c r="D70" s="5" t="n"/>
      <c r="E70" s="6">
        <f>Obligations!E7</f>
        <v/>
      </c>
      <c r="F70" s="4">
        <f>IF(AND(ISNUMBER(D70),ISNUMBER(E70)),E70-D70,"")</f>
        <v/>
      </c>
      <c r="G70" s="4">
        <f>IFERROR(IF(AND(D70="",E70=""),"Yes",IF(AND(ISNUMBER(D70),ISNUMBER(E70)),IF(ABS(E70-D70)&lt;=1E-9*MAX(1,ABS(D70)),"Yes","No"),IF(EXACT(D70,E70),"Yes","No"))),"No")</f>
        <v/>
      </c>
    </row>
    <row r="71">
      <c r="A71" s="4" t="inlineStr">
        <is>
          <t>Obligations</t>
        </is>
      </c>
      <c r="B71" s="4" t="inlineStr">
        <is>
          <t>S02: O03</t>
        </is>
      </c>
      <c r="D71" s="5" t="n"/>
      <c r="E71" s="6">
        <f>Obligations!F7</f>
        <v/>
      </c>
      <c r="F71" s="4">
        <f>IF(AND(ISNUMBER(D71),ISNUMBER(E71)),E71-D71,"")</f>
        <v/>
      </c>
      <c r="G71" s="4">
        <f>IFERROR(IF(AND(D71="",E71=""),"Yes",IF(AND(ISNUMBER(D71),ISNUMBER(E71)),IF(ABS(E71-D71)&lt;=1E-9*MAX(1,ABS(D71)),"Yes","No"),IF(EXACT(D71,E71),"Yes","No"))),"No")</f>
        <v/>
      </c>
    </row>
    <row r="72">
      <c r="A72" s="4" t="inlineStr">
        <is>
          <t>Obligations</t>
        </is>
      </c>
      <c r="B72" s="4" t="inlineStr">
        <is>
          <t>S02: O04</t>
        </is>
      </c>
      <c r="D72" s="5" t="inlineStr">
        <is>
          <t>Yes</t>
        </is>
      </c>
      <c r="E72" s="6">
        <f>Obligations!G7</f>
        <v/>
      </c>
      <c r="F72" s="4">
        <f>IF(AND(ISNUMBER(D72),ISNUMBER(E72)),E72-D72,"")</f>
        <v/>
      </c>
      <c r="G72" s="4">
        <f>IFERROR(IF(AND(D72="",E72=""),"Yes",IF(AND(ISNUMBER(D72),ISNUMBER(E72)),IF(ABS(E72-D72)&lt;=1E-9*MAX(1,ABS(D72)),"Yes","No"),IF(EXACT(D72,E72),"Yes","No"))),"No")</f>
        <v/>
      </c>
    </row>
    <row r="73">
      <c r="A73" s="4" t="inlineStr">
        <is>
          <t>Obligations</t>
        </is>
      </c>
      <c r="B73" s="4" t="inlineStr">
        <is>
          <t>S02: O05</t>
        </is>
      </c>
      <c r="D73" s="5" t="inlineStr">
        <is>
          <t>Yes</t>
        </is>
      </c>
      <c r="E73" s="6">
        <f>Obligations!H7</f>
        <v/>
      </c>
      <c r="F73" s="4">
        <f>IF(AND(ISNUMBER(D73),ISNUMBER(E73)),E73-D73,"")</f>
        <v/>
      </c>
      <c r="G73" s="4">
        <f>IFERROR(IF(AND(D73="",E73=""),"Yes",IF(AND(ISNUMBER(D73),ISNUMBER(E73)),IF(ABS(E73-D73)&lt;=1E-9*MAX(1,ABS(D73)),"Yes","No"),IF(EXACT(D73,E73),"Yes","No"))),"No")</f>
        <v/>
      </c>
    </row>
    <row r="74">
      <c r="A74" s="4" t="inlineStr">
        <is>
          <t>Obligations</t>
        </is>
      </c>
      <c r="B74" s="4" t="inlineStr">
        <is>
          <t>S02: O06</t>
        </is>
      </c>
      <c r="D74" s="5" t="inlineStr">
        <is>
          <t>Yes</t>
        </is>
      </c>
      <c r="E74" s="6">
        <f>Obligations!I7</f>
        <v/>
      </c>
      <c r="F74" s="4">
        <f>IF(AND(ISNUMBER(D74),ISNUMBER(E74)),E74-D74,"")</f>
        <v/>
      </c>
      <c r="G74" s="4">
        <f>IFERROR(IF(AND(D74="",E74=""),"Yes",IF(AND(ISNUMBER(D74),ISNUMBER(E74)),IF(ABS(E74-D74)&lt;=1E-9*MAX(1,ABS(D74)),"Yes","No"),IF(EXACT(D74,E74),"Yes","No"))),"No")</f>
        <v/>
      </c>
    </row>
    <row r="75">
      <c r="A75" s="4" t="inlineStr">
        <is>
          <t>Obligations</t>
        </is>
      </c>
      <c r="B75" s="4" t="inlineStr">
        <is>
          <t>S02: O07</t>
        </is>
      </c>
      <c r="D75" s="5" t="inlineStr">
        <is>
          <t>Yes</t>
        </is>
      </c>
      <c r="E75" s="6">
        <f>Obligations!J7</f>
        <v/>
      </c>
      <c r="F75" s="4">
        <f>IF(AND(ISNUMBER(D75),ISNUMBER(E75)),E75-D75,"")</f>
        <v/>
      </c>
      <c r="G75" s="4">
        <f>IFERROR(IF(AND(D75="",E75=""),"Yes",IF(AND(ISNUMBER(D75),ISNUMBER(E75)),IF(ABS(E75-D75)&lt;=1E-9*MAX(1,ABS(D75)),"Yes","No"),IF(EXACT(D75,E75),"Yes","No"))),"No")</f>
        <v/>
      </c>
    </row>
    <row r="76">
      <c r="A76" s="4" t="inlineStr">
        <is>
          <t>Obligations</t>
        </is>
      </c>
      <c r="B76" s="4" t="inlineStr">
        <is>
          <t>S02: O08</t>
        </is>
      </c>
      <c r="D76" s="5" t="n"/>
      <c r="E76" s="6">
        <f>Obligations!K7</f>
        <v/>
      </c>
      <c r="F76" s="4">
        <f>IF(AND(ISNUMBER(D76),ISNUMBER(E76)),E76-D76,"")</f>
        <v/>
      </c>
      <c r="G76" s="4">
        <f>IFERROR(IF(AND(D76="",E76=""),"Yes",IF(AND(ISNUMBER(D76),ISNUMBER(E76)),IF(ABS(E76-D76)&lt;=1E-9*MAX(1,ABS(D76)),"Yes","No"),IF(EXACT(D76,E76),"Yes","No"))),"No")</f>
        <v/>
      </c>
    </row>
    <row r="77">
      <c r="A77" s="4" t="inlineStr">
        <is>
          <t>Obligations</t>
        </is>
      </c>
      <c r="B77" s="4" t="inlineStr">
        <is>
          <t>S02: O09</t>
        </is>
      </c>
      <c r="D77" s="5" t="inlineStr">
        <is>
          <t>Yes</t>
        </is>
      </c>
      <c r="E77" s="6">
        <f>Obligations!L7</f>
        <v/>
      </c>
      <c r="F77" s="4">
        <f>IF(AND(ISNUMBER(D77),ISNUMBER(E77)),E77-D77,"")</f>
        <v/>
      </c>
      <c r="G77" s="4">
        <f>IFERROR(IF(AND(D77="",E77=""),"Yes",IF(AND(ISNUMBER(D77),ISNUMBER(E77)),IF(ABS(E77-D77)&lt;=1E-9*MAX(1,ABS(D77)),"Yes","No"),IF(EXACT(D77,E77),"Yes","No"))),"No")</f>
        <v/>
      </c>
    </row>
    <row r="78">
      <c r="A78" s="4" t="inlineStr">
        <is>
          <t>Obligations</t>
        </is>
      </c>
      <c r="B78" s="4" t="inlineStr">
        <is>
          <t>S02: O10</t>
        </is>
      </c>
      <c r="D78" s="5" t="n"/>
      <c r="E78" s="6">
        <f>Obligations!M7</f>
        <v/>
      </c>
      <c r="F78" s="4">
        <f>IF(AND(ISNUMBER(D78),ISNUMBER(E78)),E78-D78,"")</f>
        <v/>
      </c>
      <c r="G78" s="4">
        <f>IFERROR(IF(AND(D78="",E78=""),"Yes",IF(AND(ISNUMBER(D78),ISNUMBER(E78)),IF(ABS(E78-D78)&lt;=1E-9*MAX(1,ABS(D78)),"Yes","No"),IF(EXACT(D78,E78),"Yes","No"))),"No")</f>
        <v/>
      </c>
    </row>
    <row r="79">
      <c r="A79" s="4" t="inlineStr">
        <is>
          <t>Obligations</t>
        </is>
      </c>
      <c r="B79" s="4" t="inlineStr">
        <is>
          <t>S02: O11</t>
        </is>
      </c>
      <c r="D79" s="5" t="n"/>
      <c r="E79" s="6">
        <f>Obligations!N7</f>
        <v/>
      </c>
      <c r="F79" s="4">
        <f>IF(AND(ISNUMBER(D79),ISNUMBER(E79)),E79-D79,"")</f>
        <v/>
      </c>
      <c r="G79" s="4">
        <f>IFERROR(IF(AND(D79="",E79=""),"Yes",IF(AND(ISNUMBER(D79),ISNUMBER(E79)),IF(ABS(E79-D79)&lt;=1E-9*MAX(1,ABS(D79)),"Yes","No"),IF(EXACT(D79,E79),"Yes","No"))),"No")</f>
        <v/>
      </c>
    </row>
    <row r="80">
      <c r="A80" s="4" t="inlineStr">
        <is>
          <t>Obligations</t>
        </is>
      </c>
      <c r="B80" s="4" t="inlineStr">
        <is>
          <t>S02: O12</t>
        </is>
      </c>
      <c r="D80" s="5" t="n"/>
      <c r="E80" s="6">
        <f>Obligations!O7</f>
        <v/>
      </c>
      <c r="F80" s="4">
        <f>IF(AND(ISNUMBER(D80),ISNUMBER(E80)),E80-D80,"")</f>
        <v/>
      </c>
      <c r="G80" s="4">
        <f>IFERROR(IF(AND(D80="",E80=""),"Yes",IF(AND(ISNUMBER(D80),ISNUMBER(E80)),IF(ABS(E80-D80)&lt;=1E-9*MAX(1,ABS(D80)),"Yes","No"),IF(EXACT(D80,E80),"Yes","No"))),"No")</f>
        <v/>
      </c>
    </row>
    <row r="81">
      <c r="A81" s="4" t="inlineStr">
        <is>
          <t>Obligations</t>
        </is>
      </c>
      <c r="B81" s="4" t="inlineStr">
        <is>
          <t>S02: O13</t>
        </is>
      </c>
      <c r="D81" s="5" t="n"/>
      <c r="E81" s="6">
        <f>Obligations!P7</f>
        <v/>
      </c>
      <c r="F81" s="4">
        <f>IF(AND(ISNUMBER(D81),ISNUMBER(E81)),E81-D81,"")</f>
        <v/>
      </c>
      <c r="G81" s="4">
        <f>IFERROR(IF(AND(D81="",E81=""),"Yes",IF(AND(ISNUMBER(D81),ISNUMBER(E81)),IF(ABS(E81-D81)&lt;=1E-9*MAX(1,ABS(D81)),"Yes","No"),IF(EXACT(D81,E81),"Yes","No"))),"No")</f>
        <v/>
      </c>
    </row>
    <row r="82">
      <c r="A82" s="4" t="inlineStr">
        <is>
          <t>Obligations</t>
        </is>
      </c>
      <c r="B82" s="4" t="inlineStr">
        <is>
          <t>S03: O01</t>
        </is>
      </c>
      <c r="D82" s="5" t="n"/>
      <c r="E82" s="6">
        <f>Obligations!D8</f>
        <v/>
      </c>
      <c r="F82" s="4">
        <f>IF(AND(ISNUMBER(D82),ISNUMBER(E82)),E82-D82,"")</f>
        <v/>
      </c>
      <c r="G82" s="4">
        <f>IFERROR(IF(AND(D82="",E82=""),"Yes",IF(AND(ISNUMBER(D82),ISNUMBER(E82)),IF(ABS(E82-D82)&lt;=1E-9*MAX(1,ABS(D82)),"Yes","No"),IF(EXACT(D82,E82),"Yes","No"))),"No")</f>
        <v/>
      </c>
    </row>
    <row r="83">
      <c r="A83" s="4" t="inlineStr">
        <is>
          <t>Obligations</t>
        </is>
      </c>
      <c r="B83" s="4" t="inlineStr">
        <is>
          <t>S03: O02</t>
        </is>
      </c>
      <c r="D83" s="5" t="inlineStr">
        <is>
          <t>Yes</t>
        </is>
      </c>
      <c r="E83" s="6">
        <f>Obligations!E8</f>
        <v/>
      </c>
      <c r="F83" s="4">
        <f>IF(AND(ISNUMBER(D83),ISNUMBER(E83)),E83-D83,"")</f>
        <v/>
      </c>
      <c r="G83" s="4">
        <f>IFERROR(IF(AND(D83="",E83=""),"Yes",IF(AND(ISNUMBER(D83),ISNUMBER(E83)),IF(ABS(E83-D83)&lt;=1E-9*MAX(1,ABS(D83)),"Yes","No"),IF(EXACT(D83,E83),"Yes","No"))),"No")</f>
        <v/>
      </c>
    </row>
    <row r="84">
      <c r="A84" s="4" t="inlineStr">
        <is>
          <t>Obligations</t>
        </is>
      </c>
      <c r="B84" s="4" t="inlineStr">
        <is>
          <t>S03: O03</t>
        </is>
      </c>
      <c r="D84" s="5" t="n"/>
      <c r="E84" s="6">
        <f>Obligations!F8</f>
        <v/>
      </c>
      <c r="F84" s="4">
        <f>IF(AND(ISNUMBER(D84),ISNUMBER(E84)),E84-D84,"")</f>
        <v/>
      </c>
      <c r="G84" s="4">
        <f>IFERROR(IF(AND(D84="",E84=""),"Yes",IF(AND(ISNUMBER(D84),ISNUMBER(E84)),IF(ABS(E84-D84)&lt;=1E-9*MAX(1,ABS(D84)),"Yes","No"),IF(EXACT(D84,E84),"Yes","No"))),"No")</f>
        <v/>
      </c>
    </row>
    <row r="85">
      <c r="A85" s="4" t="inlineStr">
        <is>
          <t>Obligations</t>
        </is>
      </c>
      <c r="B85" s="4" t="inlineStr">
        <is>
          <t>S03: O04</t>
        </is>
      </c>
      <c r="D85" s="5" t="n"/>
      <c r="E85" s="6">
        <f>Obligations!G8</f>
        <v/>
      </c>
      <c r="F85" s="4">
        <f>IF(AND(ISNUMBER(D85),ISNUMBER(E85)),E85-D85,"")</f>
        <v/>
      </c>
      <c r="G85" s="4">
        <f>IFERROR(IF(AND(D85="",E85=""),"Yes",IF(AND(ISNUMBER(D85),ISNUMBER(E85)),IF(ABS(E85-D85)&lt;=1E-9*MAX(1,ABS(D85)),"Yes","No"),IF(EXACT(D85,E85),"Yes","No"))),"No")</f>
        <v/>
      </c>
    </row>
    <row r="86">
      <c r="A86" s="4" t="inlineStr">
        <is>
          <t>Obligations</t>
        </is>
      </c>
      <c r="B86" s="4" t="inlineStr">
        <is>
          <t>S03: O05</t>
        </is>
      </c>
      <c r="D86" s="5" t="n"/>
      <c r="E86" s="6">
        <f>Obligations!H8</f>
        <v/>
      </c>
      <c r="F86" s="4">
        <f>IF(AND(ISNUMBER(D86),ISNUMBER(E86)),E86-D86,"")</f>
        <v/>
      </c>
      <c r="G86" s="4">
        <f>IFERROR(IF(AND(D86="",E86=""),"Yes",IF(AND(ISNUMBER(D86),ISNUMBER(E86)),IF(ABS(E86-D86)&lt;=1E-9*MAX(1,ABS(D86)),"Yes","No"),IF(EXACT(D86,E86),"Yes","No"))),"No")</f>
        <v/>
      </c>
    </row>
    <row r="87">
      <c r="A87" s="4" t="inlineStr">
        <is>
          <t>Obligations</t>
        </is>
      </c>
      <c r="B87" s="4" t="inlineStr">
        <is>
          <t>S03: O06</t>
        </is>
      </c>
      <c r="D87" s="5" t="n"/>
      <c r="E87" s="6">
        <f>Obligations!I8</f>
        <v/>
      </c>
      <c r="F87" s="4">
        <f>IF(AND(ISNUMBER(D87),ISNUMBER(E87)),E87-D87,"")</f>
        <v/>
      </c>
      <c r="G87" s="4">
        <f>IFERROR(IF(AND(D87="",E87=""),"Yes",IF(AND(ISNUMBER(D87),ISNUMBER(E87)),IF(ABS(E87-D87)&lt;=1E-9*MAX(1,ABS(D87)),"Yes","No"),IF(EXACT(D87,E87),"Yes","No"))),"No")</f>
        <v/>
      </c>
    </row>
    <row r="88">
      <c r="A88" s="4" t="inlineStr">
        <is>
          <t>Obligations</t>
        </is>
      </c>
      <c r="B88" s="4" t="inlineStr">
        <is>
          <t>S03: O07</t>
        </is>
      </c>
      <c r="D88" s="5" t="n"/>
      <c r="E88" s="6">
        <f>Obligations!J8</f>
        <v/>
      </c>
      <c r="F88" s="4">
        <f>IF(AND(ISNUMBER(D88),ISNUMBER(E88)),E88-D88,"")</f>
        <v/>
      </c>
      <c r="G88" s="4">
        <f>IFERROR(IF(AND(D88="",E88=""),"Yes",IF(AND(ISNUMBER(D88),ISNUMBER(E88)),IF(ABS(E88-D88)&lt;=1E-9*MAX(1,ABS(D88)),"Yes","No"),IF(EXACT(D88,E88),"Yes","No"))),"No")</f>
        <v/>
      </c>
    </row>
    <row r="89">
      <c r="A89" s="4" t="inlineStr">
        <is>
          <t>Obligations</t>
        </is>
      </c>
      <c r="B89" s="4" t="inlineStr">
        <is>
          <t>S03: O08</t>
        </is>
      </c>
      <c r="D89" s="5" t="n"/>
      <c r="E89" s="6">
        <f>Obligations!K8</f>
        <v/>
      </c>
      <c r="F89" s="4">
        <f>IF(AND(ISNUMBER(D89),ISNUMBER(E89)),E89-D89,"")</f>
        <v/>
      </c>
      <c r="G89" s="4">
        <f>IFERROR(IF(AND(D89="",E89=""),"Yes",IF(AND(ISNUMBER(D89),ISNUMBER(E89)),IF(ABS(E89-D89)&lt;=1E-9*MAX(1,ABS(D89)),"Yes","No"),IF(EXACT(D89,E89),"Yes","No"))),"No")</f>
        <v/>
      </c>
    </row>
    <row r="90">
      <c r="A90" s="4" t="inlineStr">
        <is>
          <t>Obligations</t>
        </is>
      </c>
      <c r="B90" s="4" t="inlineStr">
        <is>
          <t>S03: O09</t>
        </is>
      </c>
      <c r="D90" s="5" t="n"/>
      <c r="E90" s="6">
        <f>Obligations!L8</f>
        <v/>
      </c>
      <c r="F90" s="4">
        <f>IF(AND(ISNUMBER(D90),ISNUMBER(E90)),E90-D90,"")</f>
        <v/>
      </c>
      <c r="G90" s="4">
        <f>IFERROR(IF(AND(D90="",E90=""),"Yes",IF(AND(ISNUMBER(D90),ISNUMBER(E90)),IF(ABS(E90-D90)&lt;=1E-9*MAX(1,ABS(D90)),"Yes","No"),IF(EXACT(D90,E90),"Yes","No"))),"No")</f>
        <v/>
      </c>
    </row>
    <row r="91">
      <c r="A91" s="4" t="inlineStr">
        <is>
          <t>Obligations</t>
        </is>
      </c>
      <c r="B91" s="4" t="inlineStr">
        <is>
          <t>S03: O10</t>
        </is>
      </c>
      <c r="D91" s="5" t="n"/>
      <c r="E91" s="6">
        <f>Obligations!M8</f>
        <v/>
      </c>
      <c r="F91" s="4">
        <f>IF(AND(ISNUMBER(D91),ISNUMBER(E91)),E91-D91,"")</f>
        <v/>
      </c>
      <c r="G91" s="4">
        <f>IFERROR(IF(AND(D91="",E91=""),"Yes",IF(AND(ISNUMBER(D91),ISNUMBER(E91)),IF(ABS(E91-D91)&lt;=1E-9*MAX(1,ABS(D91)),"Yes","No"),IF(EXACT(D91,E91),"Yes","No"))),"No")</f>
        <v/>
      </c>
    </row>
    <row r="92">
      <c r="A92" s="4" t="inlineStr">
        <is>
          <t>Obligations</t>
        </is>
      </c>
      <c r="B92" s="4" t="inlineStr">
        <is>
          <t>S03: O11</t>
        </is>
      </c>
      <c r="D92" s="5" t="n"/>
      <c r="E92" s="6">
        <f>Obligations!N8</f>
        <v/>
      </c>
      <c r="F92" s="4">
        <f>IF(AND(ISNUMBER(D92),ISNUMBER(E92)),E92-D92,"")</f>
        <v/>
      </c>
      <c r="G92" s="4">
        <f>IFERROR(IF(AND(D92="",E92=""),"Yes",IF(AND(ISNUMBER(D92),ISNUMBER(E92)),IF(ABS(E92-D92)&lt;=1E-9*MAX(1,ABS(D92)),"Yes","No"),IF(EXACT(D92,E92),"Yes","No"))),"No")</f>
        <v/>
      </c>
    </row>
    <row r="93">
      <c r="A93" s="4" t="inlineStr">
        <is>
          <t>Obligations</t>
        </is>
      </c>
      <c r="B93" s="4" t="inlineStr">
        <is>
          <t>S03: O12</t>
        </is>
      </c>
      <c r="D93" s="5" t="n"/>
      <c r="E93" s="6">
        <f>Obligations!O8</f>
        <v/>
      </c>
      <c r="F93" s="4">
        <f>IF(AND(ISNUMBER(D93),ISNUMBER(E93)),E93-D93,"")</f>
        <v/>
      </c>
      <c r="G93" s="4">
        <f>IFERROR(IF(AND(D93="",E93=""),"Yes",IF(AND(ISNUMBER(D93),ISNUMBER(E93)),IF(ABS(E93-D93)&lt;=1E-9*MAX(1,ABS(D93)),"Yes","No"),IF(EXACT(D93,E93),"Yes","No"))),"No")</f>
        <v/>
      </c>
    </row>
    <row r="94">
      <c r="A94" s="4" t="inlineStr">
        <is>
          <t>Obligations</t>
        </is>
      </c>
      <c r="B94" s="4" t="inlineStr">
        <is>
          <t>S03: O13</t>
        </is>
      </c>
      <c r="D94" s="5" t="n"/>
      <c r="E94" s="6">
        <f>Obligations!P8</f>
        <v/>
      </c>
      <c r="F94" s="4">
        <f>IF(AND(ISNUMBER(D94),ISNUMBER(E94)),E94-D94,"")</f>
        <v/>
      </c>
      <c r="G94" s="4">
        <f>IFERROR(IF(AND(D94="",E94=""),"Yes",IF(AND(ISNUMBER(D94),ISNUMBER(E94)),IF(ABS(E94-D94)&lt;=1E-9*MAX(1,ABS(D94)),"Yes","No"),IF(EXACT(D94,E94),"Yes","No"))),"No")</f>
        <v/>
      </c>
    </row>
    <row r="95">
      <c r="A95" s="4" t="inlineStr">
        <is>
          <t>Obligations</t>
        </is>
      </c>
      <c r="B95" s="4" t="inlineStr">
        <is>
          <t>S04: O01</t>
        </is>
      </c>
      <c r="D95" s="5" t="inlineStr">
        <is>
          <t>Yes</t>
        </is>
      </c>
      <c r="E95" s="6">
        <f>Obligations!D9</f>
        <v/>
      </c>
      <c r="F95" s="4">
        <f>IF(AND(ISNUMBER(D95),ISNUMBER(E95)),E95-D95,"")</f>
        <v/>
      </c>
      <c r="G95" s="4">
        <f>IFERROR(IF(AND(D95="",E95=""),"Yes",IF(AND(ISNUMBER(D95),ISNUMBER(E95)),IF(ABS(E95-D95)&lt;=1E-9*MAX(1,ABS(D95)),"Yes","No"),IF(EXACT(D95,E95),"Yes","No"))),"No")</f>
        <v/>
      </c>
    </row>
    <row r="96">
      <c r="A96" s="4" t="inlineStr">
        <is>
          <t>Obligations</t>
        </is>
      </c>
      <c r="B96" s="4" t="inlineStr">
        <is>
          <t>S04: O02</t>
        </is>
      </c>
      <c r="D96" s="5" t="n"/>
      <c r="E96" s="6">
        <f>Obligations!E9</f>
        <v/>
      </c>
      <c r="F96" s="4">
        <f>IF(AND(ISNUMBER(D96),ISNUMBER(E96)),E96-D96,"")</f>
        <v/>
      </c>
      <c r="G96" s="4">
        <f>IFERROR(IF(AND(D96="",E96=""),"Yes",IF(AND(ISNUMBER(D96),ISNUMBER(E96)),IF(ABS(E96-D96)&lt;=1E-9*MAX(1,ABS(D96)),"Yes","No"),IF(EXACT(D96,E96),"Yes","No"))),"No")</f>
        <v/>
      </c>
    </row>
    <row r="97">
      <c r="A97" s="4" t="inlineStr">
        <is>
          <t>Obligations</t>
        </is>
      </c>
      <c r="B97" s="4" t="inlineStr">
        <is>
          <t>S04: O03</t>
        </is>
      </c>
      <c r="D97" s="5" t="inlineStr">
        <is>
          <t>Yes</t>
        </is>
      </c>
      <c r="E97" s="6">
        <f>Obligations!F9</f>
        <v/>
      </c>
      <c r="F97" s="4">
        <f>IF(AND(ISNUMBER(D97),ISNUMBER(E97)),E97-D97,"")</f>
        <v/>
      </c>
      <c r="G97" s="4">
        <f>IFERROR(IF(AND(D97="",E97=""),"Yes",IF(AND(ISNUMBER(D97),ISNUMBER(E97)),IF(ABS(E97-D97)&lt;=1E-9*MAX(1,ABS(D97)),"Yes","No"),IF(EXACT(D97,E97),"Yes","No"))),"No")</f>
        <v/>
      </c>
    </row>
    <row r="98">
      <c r="A98" s="4" t="inlineStr">
        <is>
          <t>Obligations</t>
        </is>
      </c>
      <c r="B98" s="4" t="inlineStr">
        <is>
          <t>S04: O04</t>
        </is>
      </c>
      <c r="D98" s="5" t="n"/>
      <c r="E98" s="6">
        <f>Obligations!G9</f>
        <v/>
      </c>
      <c r="F98" s="4">
        <f>IF(AND(ISNUMBER(D98),ISNUMBER(E98)),E98-D98,"")</f>
        <v/>
      </c>
      <c r="G98" s="4">
        <f>IFERROR(IF(AND(D98="",E98=""),"Yes",IF(AND(ISNUMBER(D98),ISNUMBER(E98)),IF(ABS(E98-D98)&lt;=1E-9*MAX(1,ABS(D98)),"Yes","No"),IF(EXACT(D98,E98),"Yes","No"))),"No")</f>
        <v/>
      </c>
    </row>
    <row r="99">
      <c r="A99" s="4" t="inlineStr">
        <is>
          <t>Obligations</t>
        </is>
      </c>
      <c r="B99" s="4" t="inlineStr">
        <is>
          <t>S04: O05</t>
        </is>
      </c>
      <c r="D99" s="5" t="n"/>
      <c r="E99" s="6">
        <f>Obligations!H9</f>
        <v/>
      </c>
      <c r="F99" s="4">
        <f>IF(AND(ISNUMBER(D99),ISNUMBER(E99)),E99-D99,"")</f>
        <v/>
      </c>
      <c r="G99" s="4">
        <f>IFERROR(IF(AND(D99="",E99=""),"Yes",IF(AND(ISNUMBER(D99),ISNUMBER(E99)),IF(ABS(E99-D99)&lt;=1E-9*MAX(1,ABS(D99)),"Yes","No"),IF(EXACT(D99,E99),"Yes","No"))),"No")</f>
        <v/>
      </c>
    </row>
    <row r="100">
      <c r="A100" s="4" t="inlineStr">
        <is>
          <t>Obligations</t>
        </is>
      </c>
      <c r="B100" s="4" t="inlineStr">
        <is>
          <t>S04: O06</t>
        </is>
      </c>
      <c r="D100" s="5" t="n"/>
      <c r="E100" s="6">
        <f>Obligations!I9</f>
        <v/>
      </c>
      <c r="F100" s="4">
        <f>IF(AND(ISNUMBER(D100),ISNUMBER(E100)),E100-D100,"")</f>
        <v/>
      </c>
      <c r="G100" s="4">
        <f>IFERROR(IF(AND(D100="",E100=""),"Yes",IF(AND(ISNUMBER(D100),ISNUMBER(E100)),IF(ABS(E100-D100)&lt;=1E-9*MAX(1,ABS(D100)),"Yes","No"),IF(EXACT(D100,E100),"Yes","No"))),"No")</f>
        <v/>
      </c>
    </row>
    <row r="101">
      <c r="A101" s="4" t="inlineStr">
        <is>
          <t>Obligations</t>
        </is>
      </c>
      <c r="B101" s="4" t="inlineStr">
        <is>
          <t>S04: O07</t>
        </is>
      </c>
      <c r="D101" s="5" t="n"/>
      <c r="E101" s="6">
        <f>Obligations!J9</f>
        <v/>
      </c>
      <c r="F101" s="4">
        <f>IF(AND(ISNUMBER(D101),ISNUMBER(E101)),E101-D101,"")</f>
        <v/>
      </c>
      <c r="G101" s="4">
        <f>IFERROR(IF(AND(D101="",E101=""),"Yes",IF(AND(ISNUMBER(D101),ISNUMBER(E101)),IF(ABS(E101-D101)&lt;=1E-9*MAX(1,ABS(D101)),"Yes","No"),IF(EXACT(D101,E101),"Yes","No"))),"No")</f>
        <v/>
      </c>
    </row>
    <row r="102">
      <c r="A102" s="4" t="inlineStr">
        <is>
          <t>Obligations</t>
        </is>
      </c>
      <c r="B102" s="4" t="inlineStr">
        <is>
          <t>S04: O08</t>
        </is>
      </c>
      <c r="D102" s="5" t="n"/>
      <c r="E102" s="6">
        <f>Obligations!K9</f>
        <v/>
      </c>
      <c r="F102" s="4">
        <f>IF(AND(ISNUMBER(D102),ISNUMBER(E102)),E102-D102,"")</f>
        <v/>
      </c>
      <c r="G102" s="4">
        <f>IFERROR(IF(AND(D102="",E102=""),"Yes",IF(AND(ISNUMBER(D102),ISNUMBER(E102)),IF(ABS(E102-D102)&lt;=1E-9*MAX(1,ABS(D102)),"Yes","No"),IF(EXACT(D102,E102),"Yes","No"))),"No")</f>
        <v/>
      </c>
    </row>
    <row r="103">
      <c r="A103" s="4" t="inlineStr">
        <is>
          <t>Obligations</t>
        </is>
      </c>
      <c r="B103" s="4" t="inlineStr">
        <is>
          <t>S04: O09</t>
        </is>
      </c>
      <c r="D103" s="5" t="n"/>
      <c r="E103" s="6">
        <f>Obligations!L9</f>
        <v/>
      </c>
      <c r="F103" s="4">
        <f>IF(AND(ISNUMBER(D103),ISNUMBER(E103)),E103-D103,"")</f>
        <v/>
      </c>
      <c r="G103" s="4">
        <f>IFERROR(IF(AND(D103="",E103=""),"Yes",IF(AND(ISNUMBER(D103),ISNUMBER(E103)),IF(ABS(E103-D103)&lt;=1E-9*MAX(1,ABS(D103)),"Yes","No"),IF(EXACT(D103,E103),"Yes","No"))),"No")</f>
        <v/>
      </c>
    </row>
    <row r="104">
      <c r="A104" s="4" t="inlineStr">
        <is>
          <t>Obligations</t>
        </is>
      </c>
      <c r="B104" s="4" t="inlineStr">
        <is>
          <t>S04: O10</t>
        </is>
      </c>
      <c r="D104" s="5" t="n"/>
      <c r="E104" s="6">
        <f>Obligations!M9</f>
        <v/>
      </c>
      <c r="F104" s="4">
        <f>IF(AND(ISNUMBER(D104),ISNUMBER(E104)),E104-D104,"")</f>
        <v/>
      </c>
      <c r="G104" s="4">
        <f>IFERROR(IF(AND(D104="",E104=""),"Yes",IF(AND(ISNUMBER(D104),ISNUMBER(E104)),IF(ABS(E104-D104)&lt;=1E-9*MAX(1,ABS(D104)),"Yes","No"),IF(EXACT(D104,E104),"Yes","No"))),"No")</f>
        <v/>
      </c>
    </row>
    <row r="105">
      <c r="A105" s="4" t="inlineStr">
        <is>
          <t>Obligations</t>
        </is>
      </c>
      <c r="B105" s="4" t="inlineStr">
        <is>
          <t>S04: O11</t>
        </is>
      </c>
      <c r="D105" s="5" t="n"/>
      <c r="E105" s="6">
        <f>Obligations!N9</f>
        <v/>
      </c>
      <c r="F105" s="4">
        <f>IF(AND(ISNUMBER(D105),ISNUMBER(E105)),E105-D105,"")</f>
        <v/>
      </c>
      <c r="G105" s="4">
        <f>IFERROR(IF(AND(D105="",E105=""),"Yes",IF(AND(ISNUMBER(D105),ISNUMBER(E105)),IF(ABS(E105-D105)&lt;=1E-9*MAX(1,ABS(D105)),"Yes","No"),IF(EXACT(D105,E105),"Yes","No"))),"No")</f>
        <v/>
      </c>
    </row>
    <row r="106">
      <c r="A106" s="4" t="inlineStr">
        <is>
          <t>Obligations</t>
        </is>
      </c>
      <c r="B106" s="4" t="inlineStr">
        <is>
          <t>S04: O12</t>
        </is>
      </c>
      <c r="D106" s="5" t="n"/>
      <c r="E106" s="6">
        <f>Obligations!O9</f>
        <v/>
      </c>
      <c r="F106" s="4">
        <f>IF(AND(ISNUMBER(D106),ISNUMBER(E106)),E106-D106,"")</f>
        <v/>
      </c>
      <c r="G106" s="4">
        <f>IFERROR(IF(AND(D106="",E106=""),"Yes",IF(AND(ISNUMBER(D106),ISNUMBER(E106)),IF(ABS(E106-D106)&lt;=1E-9*MAX(1,ABS(D106)),"Yes","No"),IF(EXACT(D106,E106),"Yes","No"))),"No")</f>
        <v/>
      </c>
    </row>
    <row r="107">
      <c r="A107" s="4" t="inlineStr">
        <is>
          <t>Obligations</t>
        </is>
      </c>
      <c r="B107" s="4" t="inlineStr">
        <is>
          <t>S04: O13</t>
        </is>
      </c>
      <c r="D107" s="5" t="inlineStr">
        <is>
          <t>Yes</t>
        </is>
      </c>
      <c r="E107" s="6">
        <f>Obligations!P9</f>
        <v/>
      </c>
      <c r="F107" s="4">
        <f>IF(AND(ISNUMBER(D107),ISNUMBER(E107)),E107-D107,"")</f>
        <v/>
      </c>
      <c r="G107" s="4">
        <f>IFERROR(IF(AND(D107="",E107=""),"Yes",IF(AND(ISNUMBER(D107),ISNUMBER(E107)),IF(ABS(E107-D107)&lt;=1E-9*MAX(1,ABS(D107)),"Yes","No"),IF(EXACT(D107,E107),"Yes","No"))),"No")</f>
        <v/>
      </c>
    </row>
    <row r="108">
      <c r="A108" s="4" t="inlineStr">
        <is>
          <t>Obligations</t>
        </is>
      </c>
      <c r="B108" s="4" t="inlineStr">
        <is>
          <t>S05: O01</t>
        </is>
      </c>
      <c r="D108" s="5" t="inlineStr">
        <is>
          <t>Yes</t>
        </is>
      </c>
      <c r="E108" s="6">
        <f>Obligations!D10</f>
        <v/>
      </c>
      <c r="F108" s="4">
        <f>IF(AND(ISNUMBER(D108),ISNUMBER(E108)),E108-D108,"")</f>
        <v/>
      </c>
      <c r="G108" s="4">
        <f>IFERROR(IF(AND(D108="",E108=""),"Yes",IF(AND(ISNUMBER(D108),ISNUMBER(E108)),IF(ABS(E108-D108)&lt;=1E-9*MAX(1,ABS(D108)),"Yes","No"),IF(EXACT(D108,E108),"Yes","No"))),"No")</f>
        <v/>
      </c>
    </row>
    <row r="109">
      <c r="A109" s="4" t="inlineStr">
        <is>
          <t>Obligations</t>
        </is>
      </c>
      <c r="B109" s="4" t="inlineStr">
        <is>
          <t>S05: O02</t>
        </is>
      </c>
      <c r="D109" s="5" t="n"/>
      <c r="E109" s="6">
        <f>Obligations!E10</f>
        <v/>
      </c>
      <c r="F109" s="4">
        <f>IF(AND(ISNUMBER(D109),ISNUMBER(E109)),E109-D109,"")</f>
        <v/>
      </c>
      <c r="G109" s="4">
        <f>IFERROR(IF(AND(D109="",E109=""),"Yes",IF(AND(ISNUMBER(D109),ISNUMBER(E109)),IF(ABS(E109-D109)&lt;=1E-9*MAX(1,ABS(D109)),"Yes","No"),IF(EXACT(D109,E109),"Yes","No"))),"No")</f>
        <v/>
      </c>
    </row>
    <row r="110">
      <c r="A110" s="4" t="inlineStr">
        <is>
          <t>Obligations</t>
        </is>
      </c>
      <c r="B110" s="4" t="inlineStr">
        <is>
          <t>S05: O03</t>
        </is>
      </c>
      <c r="D110" s="5" t="n"/>
      <c r="E110" s="6">
        <f>Obligations!F10</f>
        <v/>
      </c>
      <c r="F110" s="4">
        <f>IF(AND(ISNUMBER(D110),ISNUMBER(E110)),E110-D110,"")</f>
        <v/>
      </c>
      <c r="G110" s="4">
        <f>IFERROR(IF(AND(D110="",E110=""),"Yes",IF(AND(ISNUMBER(D110),ISNUMBER(E110)),IF(ABS(E110-D110)&lt;=1E-9*MAX(1,ABS(D110)),"Yes","No"),IF(EXACT(D110,E110),"Yes","No"))),"No")</f>
        <v/>
      </c>
    </row>
    <row r="111">
      <c r="A111" s="4" t="inlineStr">
        <is>
          <t>Obligations</t>
        </is>
      </c>
      <c r="B111" s="4" t="inlineStr">
        <is>
          <t>S05: O04</t>
        </is>
      </c>
      <c r="D111" s="5" t="inlineStr">
        <is>
          <t>Yes</t>
        </is>
      </c>
      <c r="E111" s="6">
        <f>Obligations!G10</f>
        <v/>
      </c>
      <c r="F111" s="4">
        <f>IF(AND(ISNUMBER(D111),ISNUMBER(E111)),E111-D111,"")</f>
        <v/>
      </c>
      <c r="G111" s="4">
        <f>IFERROR(IF(AND(D111="",E111=""),"Yes",IF(AND(ISNUMBER(D111),ISNUMBER(E111)),IF(ABS(E111-D111)&lt;=1E-9*MAX(1,ABS(D111)),"Yes","No"),IF(EXACT(D111,E111),"Yes","No"))),"No")</f>
        <v/>
      </c>
    </row>
    <row r="112">
      <c r="A112" s="4" t="inlineStr">
        <is>
          <t>Obligations</t>
        </is>
      </c>
      <c r="B112" s="4" t="inlineStr">
        <is>
          <t>S05: O05</t>
        </is>
      </c>
      <c r="D112" s="5" t="inlineStr">
        <is>
          <t>Yes</t>
        </is>
      </c>
      <c r="E112" s="6">
        <f>Obligations!H10</f>
        <v/>
      </c>
      <c r="F112" s="4">
        <f>IF(AND(ISNUMBER(D112),ISNUMBER(E112)),E112-D112,"")</f>
        <v/>
      </c>
      <c r="G112" s="4">
        <f>IFERROR(IF(AND(D112="",E112=""),"Yes",IF(AND(ISNUMBER(D112),ISNUMBER(E112)),IF(ABS(E112-D112)&lt;=1E-9*MAX(1,ABS(D112)),"Yes","No"),IF(EXACT(D112,E112),"Yes","No"))),"No")</f>
        <v/>
      </c>
    </row>
    <row r="113">
      <c r="A113" s="4" t="inlineStr">
        <is>
          <t>Obligations</t>
        </is>
      </c>
      <c r="B113" s="4" t="inlineStr">
        <is>
          <t>S05: O06</t>
        </is>
      </c>
      <c r="D113" s="5" t="inlineStr">
        <is>
          <t>Yes</t>
        </is>
      </c>
      <c r="E113" s="6">
        <f>Obligations!I10</f>
        <v/>
      </c>
      <c r="F113" s="4">
        <f>IF(AND(ISNUMBER(D113),ISNUMBER(E113)),E113-D113,"")</f>
        <v/>
      </c>
      <c r="G113" s="4">
        <f>IFERROR(IF(AND(D113="",E113=""),"Yes",IF(AND(ISNUMBER(D113),ISNUMBER(E113)),IF(ABS(E113-D113)&lt;=1E-9*MAX(1,ABS(D113)),"Yes","No"),IF(EXACT(D113,E113),"Yes","No"))),"No")</f>
        <v/>
      </c>
    </row>
    <row r="114">
      <c r="A114" s="4" t="inlineStr">
        <is>
          <t>Obligations</t>
        </is>
      </c>
      <c r="B114" s="4" t="inlineStr">
        <is>
          <t>S05: O07</t>
        </is>
      </c>
      <c r="D114" s="5" t="inlineStr">
        <is>
          <t>Yes</t>
        </is>
      </c>
      <c r="E114" s="6">
        <f>Obligations!J10</f>
        <v/>
      </c>
      <c r="F114" s="4">
        <f>IF(AND(ISNUMBER(D114),ISNUMBER(E114)),E114-D114,"")</f>
        <v/>
      </c>
      <c r="G114" s="4">
        <f>IFERROR(IF(AND(D114="",E114=""),"Yes",IF(AND(ISNUMBER(D114),ISNUMBER(E114)),IF(ABS(E114-D114)&lt;=1E-9*MAX(1,ABS(D114)),"Yes","No"),IF(EXACT(D114,E114),"Yes","No"))),"No")</f>
        <v/>
      </c>
    </row>
    <row r="115">
      <c r="A115" s="4" t="inlineStr">
        <is>
          <t>Obligations</t>
        </is>
      </c>
      <c r="B115" s="4" t="inlineStr">
        <is>
          <t>S05: O08</t>
        </is>
      </c>
      <c r="D115" s="5" t="inlineStr">
        <is>
          <t>Yes</t>
        </is>
      </c>
      <c r="E115" s="6">
        <f>Obligations!K10</f>
        <v/>
      </c>
      <c r="F115" s="4">
        <f>IF(AND(ISNUMBER(D115),ISNUMBER(E115)),E115-D115,"")</f>
        <v/>
      </c>
      <c r="G115" s="4">
        <f>IFERROR(IF(AND(D115="",E115=""),"Yes",IF(AND(ISNUMBER(D115),ISNUMBER(E115)),IF(ABS(E115-D115)&lt;=1E-9*MAX(1,ABS(D115)),"Yes","No"),IF(EXACT(D115,E115),"Yes","No"))),"No")</f>
        <v/>
      </c>
    </row>
    <row r="116">
      <c r="A116" s="4" t="inlineStr">
        <is>
          <t>Obligations</t>
        </is>
      </c>
      <c r="B116" s="4" t="inlineStr">
        <is>
          <t>S05: O09</t>
        </is>
      </c>
      <c r="D116" s="5" t="inlineStr">
        <is>
          <t>Yes</t>
        </is>
      </c>
      <c r="E116" s="6">
        <f>Obligations!L10</f>
        <v/>
      </c>
      <c r="F116" s="4">
        <f>IF(AND(ISNUMBER(D116),ISNUMBER(E116)),E116-D116,"")</f>
        <v/>
      </c>
      <c r="G116" s="4">
        <f>IFERROR(IF(AND(D116="",E116=""),"Yes",IF(AND(ISNUMBER(D116),ISNUMBER(E116)),IF(ABS(E116-D116)&lt;=1E-9*MAX(1,ABS(D116)),"Yes","No"),IF(EXACT(D116,E116),"Yes","No"))),"No")</f>
        <v/>
      </c>
    </row>
    <row r="117">
      <c r="A117" s="4" t="inlineStr">
        <is>
          <t>Obligations</t>
        </is>
      </c>
      <c r="B117" s="4" t="inlineStr">
        <is>
          <t>S05: O10</t>
        </is>
      </c>
      <c r="D117" s="5" t="inlineStr">
        <is>
          <t>Yes</t>
        </is>
      </c>
      <c r="E117" s="6">
        <f>Obligations!M10</f>
        <v/>
      </c>
      <c r="F117" s="4">
        <f>IF(AND(ISNUMBER(D117),ISNUMBER(E117)),E117-D117,"")</f>
        <v/>
      </c>
      <c r="G117" s="4">
        <f>IFERROR(IF(AND(D117="",E117=""),"Yes",IF(AND(ISNUMBER(D117),ISNUMBER(E117)),IF(ABS(E117-D117)&lt;=1E-9*MAX(1,ABS(D117)),"Yes","No"),IF(EXACT(D117,E117),"Yes","No"))),"No")</f>
        <v/>
      </c>
    </row>
    <row r="118">
      <c r="A118" s="4" t="inlineStr">
        <is>
          <t>Obligations</t>
        </is>
      </c>
      <c r="B118" s="4" t="inlineStr">
        <is>
          <t>S05: O11</t>
        </is>
      </c>
      <c r="D118" s="5" t="inlineStr">
        <is>
          <t>Yes</t>
        </is>
      </c>
      <c r="E118" s="6">
        <f>Obligations!N10</f>
        <v/>
      </c>
      <c r="F118" s="4">
        <f>IF(AND(ISNUMBER(D118),ISNUMBER(E118)),E118-D118,"")</f>
        <v/>
      </c>
      <c r="G118" s="4">
        <f>IFERROR(IF(AND(D118="",E118=""),"Yes",IF(AND(ISNUMBER(D118),ISNUMBER(E118)),IF(ABS(E118-D118)&lt;=1E-9*MAX(1,ABS(D118)),"Yes","No"),IF(EXACT(D118,E118),"Yes","No"))),"No")</f>
        <v/>
      </c>
    </row>
    <row r="119">
      <c r="A119" s="4" t="inlineStr">
        <is>
          <t>Obligations</t>
        </is>
      </c>
      <c r="B119" s="4" t="inlineStr">
        <is>
          <t>S05: O12</t>
        </is>
      </c>
      <c r="D119" s="5" t="n"/>
      <c r="E119" s="6">
        <f>Obligations!O10</f>
        <v/>
      </c>
      <c r="F119" s="4">
        <f>IF(AND(ISNUMBER(D119),ISNUMBER(E119)),E119-D119,"")</f>
        <v/>
      </c>
      <c r="G119" s="4">
        <f>IFERROR(IF(AND(D119="",E119=""),"Yes",IF(AND(ISNUMBER(D119),ISNUMBER(E119)),IF(ABS(E119-D119)&lt;=1E-9*MAX(1,ABS(D119)),"Yes","No"),IF(EXACT(D119,E119),"Yes","No"))),"No")</f>
        <v/>
      </c>
    </row>
    <row r="120">
      <c r="A120" s="4" t="inlineStr">
        <is>
          <t>Obligations</t>
        </is>
      </c>
      <c r="B120" s="4" t="inlineStr">
        <is>
          <t>S05: O13</t>
        </is>
      </c>
      <c r="D120" s="5" t="n"/>
      <c r="E120" s="6">
        <f>Obligations!P10</f>
        <v/>
      </c>
      <c r="F120" s="4">
        <f>IF(AND(ISNUMBER(D120),ISNUMBER(E120)),E120-D120,"")</f>
        <v/>
      </c>
      <c r="G120" s="4">
        <f>IFERROR(IF(AND(D120="",E120=""),"Yes",IF(AND(ISNUMBER(D120),ISNUMBER(E120)),IF(ABS(E120-D120)&lt;=1E-9*MAX(1,ABS(D120)),"Yes","No"),IF(EXACT(D120,E120),"Yes","No"))),"No")</f>
        <v/>
      </c>
    </row>
    <row r="121">
      <c r="A121" s="4" t="inlineStr">
        <is>
          <t>Obligations</t>
        </is>
      </c>
      <c r="B121" s="4" t="inlineStr">
        <is>
          <t>S06: O01</t>
        </is>
      </c>
      <c r="D121" s="5" t="inlineStr">
        <is>
          <t>Yes</t>
        </is>
      </c>
      <c r="E121" s="6">
        <f>Obligations!D11</f>
        <v/>
      </c>
      <c r="F121" s="4">
        <f>IF(AND(ISNUMBER(D121),ISNUMBER(E121)),E121-D121,"")</f>
        <v/>
      </c>
      <c r="G121" s="4">
        <f>IFERROR(IF(AND(D121="",E121=""),"Yes",IF(AND(ISNUMBER(D121),ISNUMBER(E121)),IF(ABS(E121-D121)&lt;=1E-9*MAX(1,ABS(D121)),"Yes","No"),IF(EXACT(D121,E121),"Yes","No"))),"No")</f>
        <v/>
      </c>
    </row>
    <row r="122">
      <c r="A122" s="4" t="inlineStr">
        <is>
          <t>Obligations</t>
        </is>
      </c>
      <c r="B122" s="4" t="inlineStr">
        <is>
          <t>S06: O02</t>
        </is>
      </c>
      <c r="D122" s="5" t="n"/>
      <c r="E122" s="6">
        <f>Obligations!E11</f>
        <v/>
      </c>
      <c r="F122" s="4">
        <f>IF(AND(ISNUMBER(D122),ISNUMBER(E122)),E122-D122,"")</f>
        <v/>
      </c>
      <c r="G122" s="4">
        <f>IFERROR(IF(AND(D122="",E122=""),"Yes",IF(AND(ISNUMBER(D122),ISNUMBER(E122)),IF(ABS(E122-D122)&lt;=1E-9*MAX(1,ABS(D122)),"Yes","No"),IF(EXACT(D122,E122),"Yes","No"))),"No")</f>
        <v/>
      </c>
    </row>
    <row r="123">
      <c r="A123" s="4" t="inlineStr">
        <is>
          <t>Obligations</t>
        </is>
      </c>
      <c r="B123" s="4" t="inlineStr">
        <is>
          <t>S06: O03</t>
        </is>
      </c>
      <c r="D123" s="5" t="n"/>
      <c r="E123" s="6">
        <f>Obligations!F11</f>
        <v/>
      </c>
      <c r="F123" s="4">
        <f>IF(AND(ISNUMBER(D123),ISNUMBER(E123)),E123-D123,"")</f>
        <v/>
      </c>
      <c r="G123" s="4">
        <f>IFERROR(IF(AND(D123="",E123=""),"Yes",IF(AND(ISNUMBER(D123),ISNUMBER(E123)),IF(ABS(E123-D123)&lt;=1E-9*MAX(1,ABS(D123)),"Yes","No"),IF(EXACT(D123,E123),"Yes","No"))),"No")</f>
        <v/>
      </c>
    </row>
    <row r="124">
      <c r="A124" s="4" t="inlineStr">
        <is>
          <t>Obligations</t>
        </is>
      </c>
      <c r="B124" s="4" t="inlineStr">
        <is>
          <t>S06: O04</t>
        </is>
      </c>
      <c r="D124" s="5" t="inlineStr">
        <is>
          <t>Yes</t>
        </is>
      </c>
      <c r="E124" s="6">
        <f>Obligations!G11</f>
        <v/>
      </c>
      <c r="F124" s="4">
        <f>IF(AND(ISNUMBER(D124),ISNUMBER(E124)),E124-D124,"")</f>
        <v/>
      </c>
      <c r="G124" s="4">
        <f>IFERROR(IF(AND(D124="",E124=""),"Yes",IF(AND(ISNUMBER(D124),ISNUMBER(E124)),IF(ABS(E124-D124)&lt;=1E-9*MAX(1,ABS(D124)),"Yes","No"),IF(EXACT(D124,E124),"Yes","No"))),"No")</f>
        <v/>
      </c>
    </row>
    <row r="125">
      <c r="A125" s="4" t="inlineStr">
        <is>
          <t>Obligations</t>
        </is>
      </c>
      <c r="B125" s="4" t="inlineStr">
        <is>
          <t>S06: O05</t>
        </is>
      </c>
      <c r="D125" s="5" t="inlineStr">
        <is>
          <t>Yes</t>
        </is>
      </c>
      <c r="E125" s="6">
        <f>Obligations!H11</f>
        <v/>
      </c>
      <c r="F125" s="4">
        <f>IF(AND(ISNUMBER(D125),ISNUMBER(E125)),E125-D125,"")</f>
        <v/>
      </c>
      <c r="G125" s="4">
        <f>IFERROR(IF(AND(D125="",E125=""),"Yes",IF(AND(ISNUMBER(D125),ISNUMBER(E125)),IF(ABS(E125-D125)&lt;=1E-9*MAX(1,ABS(D125)),"Yes","No"),IF(EXACT(D125,E125),"Yes","No"))),"No")</f>
        <v/>
      </c>
    </row>
    <row r="126">
      <c r="A126" s="4" t="inlineStr">
        <is>
          <t>Obligations</t>
        </is>
      </c>
      <c r="B126" s="4" t="inlineStr">
        <is>
          <t>S06: O06</t>
        </is>
      </c>
      <c r="D126" s="5" t="inlineStr">
        <is>
          <t>Yes</t>
        </is>
      </c>
      <c r="E126" s="6">
        <f>Obligations!I11</f>
        <v/>
      </c>
      <c r="F126" s="4">
        <f>IF(AND(ISNUMBER(D126),ISNUMBER(E126)),E126-D126,"")</f>
        <v/>
      </c>
      <c r="G126" s="4">
        <f>IFERROR(IF(AND(D126="",E126=""),"Yes",IF(AND(ISNUMBER(D126),ISNUMBER(E126)),IF(ABS(E126-D126)&lt;=1E-9*MAX(1,ABS(D126)),"Yes","No"),IF(EXACT(D126,E126),"Yes","No"))),"No")</f>
        <v/>
      </c>
    </row>
    <row r="127">
      <c r="A127" s="4" t="inlineStr">
        <is>
          <t>Obligations</t>
        </is>
      </c>
      <c r="B127" s="4" t="inlineStr">
        <is>
          <t>S06: O07</t>
        </is>
      </c>
      <c r="D127" s="5" t="inlineStr">
        <is>
          <t>Yes</t>
        </is>
      </c>
      <c r="E127" s="6">
        <f>Obligations!J11</f>
        <v/>
      </c>
      <c r="F127" s="4">
        <f>IF(AND(ISNUMBER(D127),ISNUMBER(E127)),E127-D127,"")</f>
        <v/>
      </c>
      <c r="G127" s="4">
        <f>IFERROR(IF(AND(D127="",E127=""),"Yes",IF(AND(ISNUMBER(D127),ISNUMBER(E127)),IF(ABS(E127-D127)&lt;=1E-9*MAX(1,ABS(D127)),"Yes","No"),IF(EXACT(D127,E127),"Yes","No"))),"No")</f>
        <v/>
      </c>
    </row>
    <row r="128">
      <c r="A128" s="4" t="inlineStr">
        <is>
          <t>Obligations</t>
        </is>
      </c>
      <c r="B128" s="4" t="inlineStr">
        <is>
          <t>S06: O08</t>
        </is>
      </c>
      <c r="D128" s="5" t="inlineStr">
        <is>
          <t>Yes</t>
        </is>
      </c>
      <c r="E128" s="6">
        <f>Obligations!K11</f>
        <v/>
      </c>
      <c r="F128" s="4">
        <f>IF(AND(ISNUMBER(D128),ISNUMBER(E128)),E128-D128,"")</f>
        <v/>
      </c>
      <c r="G128" s="4">
        <f>IFERROR(IF(AND(D128="",E128=""),"Yes",IF(AND(ISNUMBER(D128),ISNUMBER(E128)),IF(ABS(E128-D128)&lt;=1E-9*MAX(1,ABS(D128)),"Yes","No"),IF(EXACT(D128,E128),"Yes","No"))),"No")</f>
        <v/>
      </c>
    </row>
    <row r="129">
      <c r="A129" s="4" t="inlineStr">
        <is>
          <t>Obligations</t>
        </is>
      </c>
      <c r="B129" s="4" t="inlineStr">
        <is>
          <t>S06: O09</t>
        </is>
      </c>
      <c r="D129" s="5" t="inlineStr">
        <is>
          <t>Yes</t>
        </is>
      </c>
      <c r="E129" s="6">
        <f>Obligations!L11</f>
        <v/>
      </c>
      <c r="F129" s="4">
        <f>IF(AND(ISNUMBER(D129),ISNUMBER(E129)),E129-D129,"")</f>
        <v/>
      </c>
      <c r="G129" s="4">
        <f>IFERROR(IF(AND(D129="",E129=""),"Yes",IF(AND(ISNUMBER(D129),ISNUMBER(E129)),IF(ABS(E129-D129)&lt;=1E-9*MAX(1,ABS(D129)),"Yes","No"),IF(EXACT(D129,E129),"Yes","No"))),"No")</f>
        <v/>
      </c>
    </row>
    <row r="130">
      <c r="A130" s="4" t="inlineStr">
        <is>
          <t>Obligations</t>
        </is>
      </c>
      <c r="B130" s="4" t="inlineStr">
        <is>
          <t>S06: O10</t>
        </is>
      </c>
      <c r="D130" s="5" t="inlineStr">
        <is>
          <t>Yes</t>
        </is>
      </c>
      <c r="E130" s="6">
        <f>Obligations!M11</f>
        <v/>
      </c>
      <c r="F130" s="4">
        <f>IF(AND(ISNUMBER(D130),ISNUMBER(E130)),E130-D130,"")</f>
        <v/>
      </c>
      <c r="G130" s="4">
        <f>IFERROR(IF(AND(D130="",E130=""),"Yes",IF(AND(ISNUMBER(D130),ISNUMBER(E130)),IF(ABS(E130-D130)&lt;=1E-9*MAX(1,ABS(D130)),"Yes","No"),IF(EXACT(D130,E130),"Yes","No"))),"No")</f>
        <v/>
      </c>
    </row>
    <row r="131">
      <c r="A131" s="4" t="inlineStr">
        <is>
          <t>Obligations</t>
        </is>
      </c>
      <c r="B131" s="4" t="inlineStr">
        <is>
          <t>S06: O11</t>
        </is>
      </c>
      <c r="D131" s="5" t="inlineStr">
        <is>
          <t>Yes</t>
        </is>
      </c>
      <c r="E131" s="6">
        <f>Obligations!N11</f>
        <v/>
      </c>
      <c r="F131" s="4">
        <f>IF(AND(ISNUMBER(D131),ISNUMBER(E131)),E131-D131,"")</f>
        <v/>
      </c>
      <c r="G131" s="4">
        <f>IFERROR(IF(AND(D131="",E131=""),"Yes",IF(AND(ISNUMBER(D131),ISNUMBER(E131)),IF(ABS(E131-D131)&lt;=1E-9*MAX(1,ABS(D131)),"Yes","No"),IF(EXACT(D131,E131),"Yes","No"))),"No")</f>
        <v/>
      </c>
    </row>
    <row r="132">
      <c r="A132" s="4" t="inlineStr">
        <is>
          <t>Obligations</t>
        </is>
      </c>
      <c r="B132" s="4" t="inlineStr">
        <is>
          <t>S06: O12</t>
        </is>
      </c>
      <c r="D132" s="5" t="n"/>
      <c r="E132" s="6">
        <f>Obligations!O11</f>
        <v/>
      </c>
      <c r="F132" s="4">
        <f>IF(AND(ISNUMBER(D132),ISNUMBER(E132)),E132-D132,"")</f>
        <v/>
      </c>
      <c r="G132" s="4">
        <f>IFERROR(IF(AND(D132="",E132=""),"Yes",IF(AND(ISNUMBER(D132),ISNUMBER(E132)),IF(ABS(E132-D132)&lt;=1E-9*MAX(1,ABS(D132)),"Yes","No"),IF(EXACT(D132,E132),"Yes","No"))),"No")</f>
        <v/>
      </c>
    </row>
    <row r="133">
      <c r="A133" s="4" t="inlineStr">
        <is>
          <t>Obligations</t>
        </is>
      </c>
      <c r="B133" s="4" t="inlineStr">
        <is>
          <t>S06: O13</t>
        </is>
      </c>
      <c r="D133" s="5" t="n"/>
      <c r="E133" s="6">
        <f>Obligations!P11</f>
        <v/>
      </c>
      <c r="F133" s="4">
        <f>IF(AND(ISNUMBER(D133),ISNUMBER(E133)),E133-D133,"")</f>
        <v/>
      </c>
      <c r="G133" s="4">
        <f>IFERROR(IF(AND(D133="",E133=""),"Yes",IF(AND(ISNUMBER(D133),ISNUMBER(E133)),IF(ABS(E133-D133)&lt;=1E-9*MAX(1,ABS(D133)),"Yes","No"),IF(EXACT(D133,E133),"Yes","No"))),"No")</f>
        <v/>
      </c>
    </row>
    <row r="134">
      <c r="A134" s="4" t="inlineStr">
        <is>
          <t>Obligations</t>
        </is>
      </c>
      <c r="B134" s="4" t="inlineStr">
        <is>
          <t>S07: O01</t>
        </is>
      </c>
      <c r="D134" s="5" t="inlineStr">
        <is>
          <t>Yes</t>
        </is>
      </c>
      <c r="E134" s="6">
        <f>Obligations!D12</f>
        <v/>
      </c>
      <c r="F134" s="4">
        <f>IF(AND(ISNUMBER(D134),ISNUMBER(E134)),E134-D134,"")</f>
        <v/>
      </c>
      <c r="G134" s="4">
        <f>IFERROR(IF(AND(D134="",E134=""),"Yes",IF(AND(ISNUMBER(D134),ISNUMBER(E134)),IF(ABS(E134-D134)&lt;=1E-9*MAX(1,ABS(D134)),"Yes","No"),IF(EXACT(D134,E134),"Yes","No"))),"No")</f>
        <v/>
      </c>
    </row>
    <row r="135">
      <c r="A135" s="4" t="inlineStr">
        <is>
          <t>Obligations</t>
        </is>
      </c>
      <c r="B135" s="4" t="inlineStr">
        <is>
          <t>S07: O02</t>
        </is>
      </c>
      <c r="D135" s="5" t="n"/>
      <c r="E135" s="6">
        <f>Obligations!E12</f>
        <v/>
      </c>
      <c r="F135" s="4">
        <f>IF(AND(ISNUMBER(D135),ISNUMBER(E135)),E135-D135,"")</f>
        <v/>
      </c>
      <c r="G135" s="4">
        <f>IFERROR(IF(AND(D135="",E135=""),"Yes",IF(AND(ISNUMBER(D135),ISNUMBER(E135)),IF(ABS(E135-D135)&lt;=1E-9*MAX(1,ABS(D135)),"Yes","No"),IF(EXACT(D135,E135),"Yes","No"))),"No")</f>
        <v/>
      </c>
    </row>
    <row r="136">
      <c r="A136" s="4" t="inlineStr">
        <is>
          <t>Obligations</t>
        </is>
      </c>
      <c r="B136" s="4" t="inlineStr">
        <is>
          <t>S07: O03</t>
        </is>
      </c>
      <c r="D136" s="5" t="n"/>
      <c r="E136" s="6">
        <f>Obligations!F12</f>
        <v/>
      </c>
      <c r="F136" s="4">
        <f>IF(AND(ISNUMBER(D136),ISNUMBER(E136)),E136-D136,"")</f>
        <v/>
      </c>
      <c r="G136" s="4">
        <f>IFERROR(IF(AND(D136="",E136=""),"Yes",IF(AND(ISNUMBER(D136),ISNUMBER(E136)),IF(ABS(E136-D136)&lt;=1E-9*MAX(1,ABS(D136)),"Yes","No"),IF(EXACT(D136,E136),"Yes","No"))),"No")</f>
        <v/>
      </c>
    </row>
    <row r="137">
      <c r="A137" s="4" t="inlineStr">
        <is>
          <t>Obligations</t>
        </is>
      </c>
      <c r="B137" s="4" t="inlineStr">
        <is>
          <t>S07: O04</t>
        </is>
      </c>
      <c r="D137" s="5" t="inlineStr">
        <is>
          <t>Yes</t>
        </is>
      </c>
      <c r="E137" s="6">
        <f>Obligations!G12</f>
        <v/>
      </c>
      <c r="F137" s="4">
        <f>IF(AND(ISNUMBER(D137),ISNUMBER(E137)),E137-D137,"")</f>
        <v/>
      </c>
      <c r="G137" s="4">
        <f>IFERROR(IF(AND(D137="",E137=""),"Yes",IF(AND(ISNUMBER(D137),ISNUMBER(E137)),IF(ABS(E137-D137)&lt;=1E-9*MAX(1,ABS(D137)),"Yes","No"),IF(EXACT(D137,E137),"Yes","No"))),"No")</f>
        <v/>
      </c>
    </row>
    <row r="138">
      <c r="A138" s="4" t="inlineStr">
        <is>
          <t>Obligations</t>
        </is>
      </c>
      <c r="B138" s="4" t="inlineStr">
        <is>
          <t>S07: O05</t>
        </is>
      </c>
      <c r="D138" s="5" t="inlineStr">
        <is>
          <t>Yes</t>
        </is>
      </c>
      <c r="E138" s="6">
        <f>Obligations!H12</f>
        <v/>
      </c>
      <c r="F138" s="4">
        <f>IF(AND(ISNUMBER(D138),ISNUMBER(E138)),E138-D138,"")</f>
        <v/>
      </c>
      <c r="G138" s="4">
        <f>IFERROR(IF(AND(D138="",E138=""),"Yes",IF(AND(ISNUMBER(D138),ISNUMBER(E138)),IF(ABS(E138-D138)&lt;=1E-9*MAX(1,ABS(D138)),"Yes","No"),IF(EXACT(D138,E138),"Yes","No"))),"No")</f>
        <v/>
      </c>
    </row>
    <row r="139">
      <c r="A139" s="4" t="inlineStr">
        <is>
          <t>Obligations</t>
        </is>
      </c>
      <c r="B139" s="4" t="inlineStr">
        <is>
          <t>S07: O06</t>
        </is>
      </c>
      <c r="D139" s="5" t="inlineStr">
        <is>
          <t>Yes</t>
        </is>
      </c>
      <c r="E139" s="6">
        <f>Obligations!I12</f>
        <v/>
      </c>
      <c r="F139" s="4">
        <f>IF(AND(ISNUMBER(D139),ISNUMBER(E139)),E139-D139,"")</f>
        <v/>
      </c>
      <c r="G139" s="4">
        <f>IFERROR(IF(AND(D139="",E139=""),"Yes",IF(AND(ISNUMBER(D139),ISNUMBER(E139)),IF(ABS(E139-D139)&lt;=1E-9*MAX(1,ABS(D139)),"Yes","No"),IF(EXACT(D139,E139),"Yes","No"))),"No")</f>
        <v/>
      </c>
    </row>
    <row r="140">
      <c r="A140" s="4" t="inlineStr">
        <is>
          <t>Obligations</t>
        </is>
      </c>
      <c r="B140" s="4" t="inlineStr">
        <is>
          <t>S07: O07</t>
        </is>
      </c>
      <c r="D140" s="5" t="inlineStr">
        <is>
          <t>Yes</t>
        </is>
      </c>
      <c r="E140" s="6">
        <f>Obligations!J12</f>
        <v/>
      </c>
      <c r="F140" s="4">
        <f>IF(AND(ISNUMBER(D140),ISNUMBER(E140)),E140-D140,"")</f>
        <v/>
      </c>
      <c r="G140" s="4">
        <f>IFERROR(IF(AND(D140="",E140=""),"Yes",IF(AND(ISNUMBER(D140),ISNUMBER(E140)),IF(ABS(E140-D140)&lt;=1E-9*MAX(1,ABS(D140)),"Yes","No"),IF(EXACT(D140,E140),"Yes","No"))),"No")</f>
        <v/>
      </c>
    </row>
    <row r="141">
      <c r="A141" s="4" t="inlineStr">
        <is>
          <t>Obligations</t>
        </is>
      </c>
      <c r="B141" s="4" t="inlineStr">
        <is>
          <t>S07: O08</t>
        </is>
      </c>
      <c r="D141" s="5" t="inlineStr">
        <is>
          <t>Yes</t>
        </is>
      </c>
      <c r="E141" s="6">
        <f>Obligations!K12</f>
        <v/>
      </c>
      <c r="F141" s="4">
        <f>IF(AND(ISNUMBER(D141),ISNUMBER(E141)),E141-D141,"")</f>
        <v/>
      </c>
      <c r="G141" s="4">
        <f>IFERROR(IF(AND(D141="",E141=""),"Yes",IF(AND(ISNUMBER(D141),ISNUMBER(E141)),IF(ABS(E141-D141)&lt;=1E-9*MAX(1,ABS(D141)),"Yes","No"),IF(EXACT(D141,E141),"Yes","No"))),"No")</f>
        <v/>
      </c>
    </row>
    <row r="142">
      <c r="A142" s="4" t="inlineStr">
        <is>
          <t>Obligations</t>
        </is>
      </c>
      <c r="B142" s="4" t="inlineStr">
        <is>
          <t>S07: O09</t>
        </is>
      </c>
      <c r="D142" s="5" t="inlineStr">
        <is>
          <t>Yes</t>
        </is>
      </c>
      <c r="E142" s="6">
        <f>Obligations!L12</f>
        <v/>
      </c>
      <c r="F142" s="4">
        <f>IF(AND(ISNUMBER(D142),ISNUMBER(E142)),E142-D142,"")</f>
        <v/>
      </c>
      <c r="G142" s="4">
        <f>IFERROR(IF(AND(D142="",E142=""),"Yes",IF(AND(ISNUMBER(D142),ISNUMBER(E142)),IF(ABS(E142-D142)&lt;=1E-9*MAX(1,ABS(D142)),"Yes","No"),IF(EXACT(D142,E142),"Yes","No"))),"No")</f>
        <v/>
      </c>
    </row>
    <row r="143">
      <c r="A143" s="4" t="inlineStr">
        <is>
          <t>Obligations</t>
        </is>
      </c>
      <c r="B143" s="4" t="inlineStr">
        <is>
          <t>S07: O10</t>
        </is>
      </c>
      <c r="D143" s="5" t="inlineStr">
        <is>
          <t>Yes</t>
        </is>
      </c>
      <c r="E143" s="6">
        <f>Obligations!M12</f>
        <v/>
      </c>
      <c r="F143" s="4">
        <f>IF(AND(ISNUMBER(D143),ISNUMBER(E143)),E143-D143,"")</f>
        <v/>
      </c>
      <c r="G143" s="4">
        <f>IFERROR(IF(AND(D143="",E143=""),"Yes",IF(AND(ISNUMBER(D143),ISNUMBER(E143)),IF(ABS(E143-D143)&lt;=1E-9*MAX(1,ABS(D143)),"Yes","No"),IF(EXACT(D143,E143),"Yes","No"))),"No")</f>
        <v/>
      </c>
    </row>
    <row r="144">
      <c r="A144" s="4" t="inlineStr">
        <is>
          <t>Obligations</t>
        </is>
      </c>
      <c r="B144" s="4" t="inlineStr">
        <is>
          <t>S07: O11</t>
        </is>
      </c>
      <c r="D144" s="5" t="inlineStr">
        <is>
          <t>Yes</t>
        </is>
      </c>
      <c r="E144" s="6">
        <f>Obligations!N12</f>
        <v/>
      </c>
      <c r="F144" s="4">
        <f>IF(AND(ISNUMBER(D144),ISNUMBER(E144)),E144-D144,"")</f>
        <v/>
      </c>
      <c r="G144" s="4">
        <f>IFERROR(IF(AND(D144="",E144=""),"Yes",IF(AND(ISNUMBER(D144),ISNUMBER(E144)),IF(ABS(E144-D144)&lt;=1E-9*MAX(1,ABS(D144)),"Yes","No"),IF(EXACT(D144,E144),"Yes","No"))),"No")</f>
        <v/>
      </c>
    </row>
    <row r="145">
      <c r="A145" s="4" t="inlineStr">
        <is>
          <t>Obligations</t>
        </is>
      </c>
      <c r="B145" s="4" t="inlineStr">
        <is>
          <t>S07: O12</t>
        </is>
      </c>
      <c r="D145" s="5" t="inlineStr">
        <is>
          <t>Yes</t>
        </is>
      </c>
      <c r="E145" s="6">
        <f>Obligations!O12</f>
        <v/>
      </c>
      <c r="F145" s="4">
        <f>IF(AND(ISNUMBER(D145),ISNUMBER(E145)),E145-D145,"")</f>
        <v/>
      </c>
      <c r="G145" s="4">
        <f>IFERROR(IF(AND(D145="",E145=""),"Yes",IF(AND(ISNUMBER(D145),ISNUMBER(E145)),IF(ABS(E145-D145)&lt;=1E-9*MAX(1,ABS(D145)),"Yes","No"),IF(EXACT(D145,E145),"Yes","No"))),"No")</f>
        <v/>
      </c>
    </row>
    <row r="146">
      <c r="A146" s="4" t="inlineStr">
        <is>
          <t>Obligations</t>
        </is>
      </c>
      <c r="B146" s="4" t="inlineStr">
        <is>
          <t>S07: O13</t>
        </is>
      </c>
      <c r="D146" s="5" t="n"/>
      <c r="E146" s="6">
        <f>Obligations!P12</f>
        <v/>
      </c>
      <c r="F146" s="4">
        <f>IF(AND(ISNUMBER(D146),ISNUMBER(E146)),E146-D146,"")</f>
        <v/>
      </c>
      <c r="G146" s="4">
        <f>IFERROR(IF(AND(D146="",E146=""),"Yes",IF(AND(ISNUMBER(D146),ISNUMBER(E146)),IF(ABS(E146-D146)&lt;=1E-9*MAX(1,ABS(D146)),"Yes","No"),IF(EXACT(D146,E146),"Yes","No"))),"No")</f>
        <v/>
      </c>
    </row>
    <row r="147">
      <c r="A147" s="4" t="inlineStr">
        <is>
          <t>Obligations</t>
        </is>
      </c>
      <c r="B147" s="4" t="inlineStr">
        <is>
          <t>S08: O01</t>
        </is>
      </c>
      <c r="D147" s="5" t="inlineStr">
        <is>
          <t>Yes</t>
        </is>
      </c>
      <c r="E147" s="6">
        <f>Obligations!D13</f>
        <v/>
      </c>
      <c r="F147" s="4">
        <f>IF(AND(ISNUMBER(D147),ISNUMBER(E147)),E147-D147,"")</f>
        <v/>
      </c>
      <c r="G147" s="4">
        <f>IFERROR(IF(AND(D147="",E147=""),"Yes",IF(AND(ISNUMBER(D147),ISNUMBER(E147)),IF(ABS(E147-D147)&lt;=1E-9*MAX(1,ABS(D147)),"Yes","No"),IF(EXACT(D147,E147),"Yes","No"))),"No")</f>
        <v/>
      </c>
    </row>
    <row r="148">
      <c r="A148" s="4" t="inlineStr">
        <is>
          <t>Obligations</t>
        </is>
      </c>
      <c r="B148" s="4" t="inlineStr">
        <is>
          <t>S08: O02</t>
        </is>
      </c>
      <c r="D148" s="5" t="n"/>
      <c r="E148" s="6">
        <f>Obligations!E13</f>
        <v/>
      </c>
      <c r="F148" s="4">
        <f>IF(AND(ISNUMBER(D148),ISNUMBER(E148)),E148-D148,"")</f>
        <v/>
      </c>
      <c r="G148" s="4">
        <f>IFERROR(IF(AND(D148="",E148=""),"Yes",IF(AND(ISNUMBER(D148),ISNUMBER(E148)),IF(ABS(E148-D148)&lt;=1E-9*MAX(1,ABS(D148)),"Yes","No"),IF(EXACT(D148,E148),"Yes","No"))),"No")</f>
        <v/>
      </c>
    </row>
    <row r="149">
      <c r="A149" s="4" t="inlineStr">
        <is>
          <t>Obligations</t>
        </is>
      </c>
      <c r="B149" s="4" t="inlineStr">
        <is>
          <t>S08: O03</t>
        </is>
      </c>
      <c r="D149" s="5" t="n"/>
      <c r="E149" s="6">
        <f>Obligations!F13</f>
        <v/>
      </c>
      <c r="F149" s="4">
        <f>IF(AND(ISNUMBER(D149),ISNUMBER(E149)),E149-D149,"")</f>
        <v/>
      </c>
      <c r="G149" s="4">
        <f>IFERROR(IF(AND(D149="",E149=""),"Yes",IF(AND(ISNUMBER(D149),ISNUMBER(E149)),IF(ABS(E149-D149)&lt;=1E-9*MAX(1,ABS(D149)),"Yes","No"),IF(EXACT(D149,E149),"Yes","No"))),"No")</f>
        <v/>
      </c>
    </row>
    <row r="150">
      <c r="A150" s="4" t="inlineStr">
        <is>
          <t>Obligations</t>
        </is>
      </c>
      <c r="B150" s="4" t="inlineStr">
        <is>
          <t>S08: O04</t>
        </is>
      </c>
      <c r="D150" s="5" t="inlineStr">
        <is>
          <t>Yes</t>
        </is>
      </c>
      <c r="E150" s="6">
        <f>Obligations!G13</f>
        <v/>
      </c>
      <c r="F150" s="4">
        <f>IF(AND(ISNUMBER(D150),ISNUMBER(E150)),E150-D150,"")</f>
        <v/>
      </c>
      <c r="G150" s="4">
        <f>IFERROR(IF(AND(D150="",E150=""),"Yes",IF(AND(ISNUMBER(D150),ISNUMBER(E150)),IF(ABS(E150-D150)&lt;=1E-9*MAX(1,ABS(D150)),"Yes","No"),IF(EXACT(D150,E150),"Yes","No"))),"No")</f>
        <v/>
      </c>
    </row>
    <row r="151">
      <c r="A151" s="4" t="inlineStr">
        <is>
          <t>Obligations</t>
        </is>
      </c>
      <c r="B151" s="4" t="inlineStr">
        <is>
          <t>S08: O05</t>
        </is>
      </c>
      <c r="D151" s="5" t="inlineStr">
        <is>
          <t>Yes</t>
        </is>
      </c>
      <c r="E151" s="6">
        <f>Obligations!H13</f>
        <v/>
      </c>
      <c r="F151" s="4">
        <f>IF(AND(ISNUMBER(D151),ISNUMBER(E151)),E151-D151,"")</f>
        <v/>
      </c>
      <c r="G151" s="4">
        <f>IFERROR(IF(AND(D151="",E151=""),"Yes",IF(AND(ISNUMBER(D151),ISNUMBER(E151)),IF(ABS(E151-D151)&lt;=1E-9*MAX(1,ABS(D151)),"Yes","No"),IF(EXACT(D151,E151),"Yes","No"))),"No")</f>
        <v/>
      </c>
    </row>
    <row r="152">
      <c r="A152" s="4" t="inlineStr">
        <is>
          <t>Obligations</t>
        </is>
      </c>
      <c r="B152" s="4" t="inlineStr">
        <is>
          <t>S08: O06</t>
        </is>
      </c>
      <c r="D152" s="5" t="inlineStr">
        <is>
          <t>Yes</t>
        </is>
      </c>
      <c r="E152" s="6">
        <f>Obligations!I13</f>
        <v/>
      </c>
      <c r="F152" s="4">
        <f>IF(AND(ISNUMBER(D152),ISNUMBER(E152)),E152-D152,"")</f>
        <v/>
      </c>
      <c r="G152" s="4">
        <f>IFERROR(IF(AND(D152="",E152=""),"Yes",IF(AND(ISNUMBER(D152),ISNUMBER(E152)),IF(ABS(E152-D152)&lt;=1E-9*MAX(1,ABS(D152)),"Yes","No"),IF(EXACT(D152,E152),"Yes","No"))),"No")</f>
        <v/>
      </c>
    </row>
    <row r="153">
      <c r="A153" s="4" t="inlineStr">
        <is>
          <t>Obligations</t>
        </is>
      </c>
      <c r="B153" s="4" t="inlineStr">
        <is>
          <t>S08: O07</t>
        </is>
      </c>
      <c r="D153" s="5" t="inlineStr">
        <is>
          <t>Yes</t>
        </is>
      </c>
      <c r="E153" s="6">
        <f>Obligations!J13</f>
        <v/>
      </c>
      <c r="F153" s="4">
        <f>IF(AND(ISNUMBER(D153),ISNUMBER(E153)),E153-D153,"")</f>
        <v/>
      </c>
      <c r="G153" s="4">
        <f>IFERROR(IF(AND(D153="",E153=""),"Yes",IF(AND(ISNUMBER(D153),ISNUMBER(E153)),IF(ABS(E153-D153)&lt;=1E-9*MAX(1,ABS(D153)),"Yes","No"),IF(EXACT(D153,E153),"Yes","No"))),"No")</f>
        <v/>
      </c>
    </row>
    <row r="154">
      <c r="A154" s="4" t="inlineStr">
        <is>
          <t>Obligations</t>
        </is>
      </c>
      <c r="B154" s="4" t="inlineStr">
        <is>
          <t>S08: O08</t>
        </is>
      </c>
      <c r="D154" s="5" t="inlineStr">
        <is>
          <t>Yes</t>
        </is>
      </c>
      <c r="E154" s="6">
        <f>Obligations!K13</f>
        <v/>
      </c>
      <c r="F154" s="4">
        <f>IF(AND(ISNUMBER(D154),ISNUMBER(E154)),E154-D154,"")</f>
        <v/>
      </c>
      <c r="G154" s="4">
        <f>IFERROR(IF(AND(D154="",E154=""),"Yes",IF(AND(ISNUMBER(D154),ISNUMBER(E154)),IF(ABS(E154-D154)&lt;=1E-9*MAX(1,ABS(D154)),"Yes","No"),IF(EXACT(D154,E154),"Yes","No"))),"No")</f>
        <v/>
      </c>
    </row>
    <row r="155">
      <c r="A155" s="4" t="inlineStr">
        <is>
          <t>Obligations</t>
        </is>
      </c>
      <c r="B155" s="4" t="inlineStr">
        <is>
          <t>S08: O09</t>
        </is>
      </c>
      <c r="D155" s="5" t="inlineStr">
        <is>
          <t>Yes</t>
        </is>
      </c>
      <c r="E155" s="6">
        <f>Obligations!L13</f>
        <v/>
      </c>
      <c r="F155" s="4">
        <f>IF(AND(ISNUMBER(D155),ISNUMBER(E155)),E155-D155,"")</f>
        <v/>
      </c>
      <c r="G155" s="4">
        <f>IFERROR(IF(AND(D155="",E155=""),"Yes",IF(AND(ISNUMBER(D155),ISNUMBER(E155)),IF(ABS(E155-D155)&lt;=1E-9*MAX(1,ABS(D155)),"Yes","No"),IF(EXACT(D155,E155),"Yes","No"))),"No")</f>
        <v/>
      </c>
    </row>
    <row r="156">
      <c r="A156" s="4" t="inlineStr">
        <is>
          <t>Obligations</t>
        </is>
      </c>
      <c r="B156" s="4" t="inlineStr">
        <is>
          <t>S08: O10</t>
        </is>
      </c>
      <c r="D156" s="5" t="inlineStr">
        <is>
          <t>Yes</t>
        </is>
      </c>
      <c r="E156" s="6">
        <f>Obligations!M13</f>
        <v/>
      </c>
      <c r="F156" s="4">
        <f>IF(AND(ISNUMBER(D156),ISNUMBER(E156)),E156-D156,"")</f>
        <v/>
      </c>
      <c r="G156" s="4">
        <f>IFERROR(IF(AND(D156="",E156=""),"Yes",IF(AND(ISNUMBER(D156),ISNUMBER(E156)),IF(ABS(E156-D156)&lt;=1E-9*MAX(1,ABS(D156)),"Yes","No"),IF(EXACT(D156,E156),"Yes","No"))),"No")</f>
        <v/>
      </c>
    </row>
    <row r="157">
      <c r="A157" s="4" t="inlineStr">
        <is>
          <t>Obligations</t>
        </is>
      </c>
      <c r="B157" s="4" t="inlineStr">
        <is>
          <t>S08: O11</t>
        </is>
      </c>
      <c r="D157" s="5" t="inlineStr">
        <is>
          <t>Yes</t>
        </is>
      </c>
      <c r="E157" s="6">
        <f>Obligations!N13</f>
        <v/>
      </c>
      <c r="F157" s="4">
        <f>IF(AND(ISNUMBER(D157),ISNUMBER(E157)),E157-D157,"")</f>
        <v/>
      </c>
      <c r="G157" s="4">
        <f>IFERROR(IF(AND(D157="",E157=""),"Yes",IF(AND(ISNUMBER(D157),ISNUMBER(E157)),IF(ABS(E157-D157)&lt;=1E-9*MAX(1,ABS(D157)),"Yes","No"),IF(EXACT(D157,E157),"Yes","No"))),"No")</f>
        <v/>
      </c>
    </row>
    <row r="158">
      <c r="A158" s="4" t="inlineStr">
        <is>
          <t>Obligations</t>
        </is>
      </c>
      <c r="B158" s="4" t="inlineStr">
        <is>
          <t>S08: O12</t>
        </is>
      </c>
      <c r="D158" s="5" t="n"/>
      <c r="E158" s="6">
        <f>Obligations!O13</f>
        <v/>
      </c>
      <c r="F158" s="4">
        <f>IF(AND(ISNUMBER(D158),ISNUMBER(E158)),E158-D158,"")</f>
        <v/>
      </c>
      <c r="G158" s="4">
        <f>IFERROR(IF(AND(D158="",E158=""),"Yes",IF(AND(ISNUMBER(D158),ISNUMBER(E158)),IF(ABS(E158-D158)&lt;=1E-9*MAX(1,ABS(D158)),"Yes","No"),IF(EXACT(D158,E158),"Yes","No"))),"No")</f>
        <v/>
      </c>
    </row>
    <row r="159">
      <c r="A159" s="4" t="inlineStr">
        <is>
          <t>Obligations</t>
        </is>
      </c>
      <c r="B159" s="4" t="inlineStr">
        <is>
          <t>S08: O13</t>
        </is>
      </c>
      <c r="D159" s="5" t="n"/>
      <c r="E159" s="6">
        <f>Obligations!P13</f>
        <v/>
      </c>
      <c r="F159" s="4">
        <f>IF(AND(ISNUMBER(D159),ISNUMBER(E159)),E159-D159,"")</f>
        <v/>
      </c>
      <c r="G159" s="4">
        <f>IFERROR(IF(AND(D159="",E159=""),"Yes",IF(AND(ISNUMBER(D159),ISNUMBER(E159)),IF(ABS(E159-D159)&lt;=1E-9*MAX(1,ABS(D159)),"Yes","No"),IF(EXACT(D159,E159),"Yes","No"))),"No")</f>
        <v/>
      </c>
    </row>
    <row r="160">
      <c r="A160" s="4" t="inlineStr">
        <is>
          <t>Obligations</t>
        </is>
      </c>
      <c r="B160" s="4" t="inlineStr">
        <is>
          <t>S09: O01</t>
        </is>
      </c>
      <c r="D160" s="5" t="inlineStr">
        <is>
          <t>Yes</t>
        </is>
      </c>
      <c r="E160" s="6">
        <f>Obligations!D14</f>
        <v/>
      </c>
      <c r="F160" s="4">
        <f>IF(AND(ISNUMBER(D160),ISNUMBER(E160)),E160-D160,"")</f>
        <v/>
      </c>
      <c r="G160" s="4">
        <f>IFERROR(IF(AND(D160="",E160=""),"Yes",IF(AND(ISNUMBER(D160),ISNUMBER(E160)),IF(ABS(E160-D160)&lt;=1E-9*MAX(1,ABS(D160)),"Yes","No"),IF(EXACT(D160,E160),"Yes","No"))),"No")</f>
        <v/>
      </c>
    </row>
    <row r="161">
      <c r="A161" s="4" t="inlineStr">
        <is>
          <t>Obligations</t>
        </is>
      </c>
      <c r="B161" s="4" t="inlineStr">
        <is>
          <t>S09: O02</t>
        </is>
      </c>
      <c r="D161" s="5" t="n"/>
      <c r="E161" s="6">
        <f>Obligations!E14</f>
        <v/>
      </c>
      <c r="F161" s="4">
        <f>IF(AND(ISNUMBER(D161),ISNUMBER(E161)),E161-D161,"")</f>
        <v/>
      </c>
      <c r="G161" s="4">
        <f>IFERROR(IF(AND(D161="",E161=""),"Yes",IF(AND(ISNUMBER(D161),ISNUMBER(E161)),IF(ABS(E161-D161)&lt;=1E-9*MAX(1,ABS(D161)),"Yes","No"),IF(EXACT(D161,E161),"Yes","No"))),"No")</f>
        <v/>
      </c>
    </row>
    <row r="162">
      <c r="A162" s="4" t="inlineStr">
        <is>
          <t>Obligations</t>
        </is>
      </c>
      <c r="B162" s="4" t="inlineStr">
        <is>
          <t>S09: O03</t>
        </is>
      </c>
      <c r="D162" s="5" t="inlineStr">
        <is>
          <t>Yes</t>
        </is>
      </c>
      <c r="E162" s="6">
        <f>Obligations!F14</f>
        <v/>
      </c>
      <c r="F162" s="4">
        <f>IF(AND(ISNUMBER(D162),ISNUMBER(E162)),E162-D162,"")</f>
        <v/>
      </c>
      <c r="G162" s="4">
        <f>IFERROR(IF(AND(D162="",E162=""),"Yes",IF(AND(ISNUMBER(D162),ISNUMBER(E162)),IF(ABS(E162-D162)&lt;=1E-9*MAX(1,ABS(D162)),"Yes","No"),IF(EXACT(D162,E162),"Yes","No"))),"No")</f>
        <v/>
      </c>
    </row>
    <row r="163">
      <c r="A163" s="4" t="inlineStr">
        <is>
          <t>Obligations</t>
        </is>
      </c>
      <c r="B163" s="4" t="inlineStr">
        <is>
          <t>S09: O04</t>
        </is>
      </c>
      <c r="D163" s="5" t="n"/>
      <c r="E163" s="6">
        <f>Obligations!G14</f>
        <v/>
      </c>
      <c r="F163" s="4">
        <f>IF(AND(ISNUMBER(D163),ISNUMBER(E163)),E163-D163,"")</f>
        <v/>
      </c>
      <c r="G163" s="4">
        <f>IFERROR(IF(AND(D163="",E163=""),"Yes",IF(AND(ISNUMBER(D163),ISNUMBER(E163)),IF(ABS(E163-D163)&lt;=1E-9*MAX(1,ABS(D163)),"Yes","No"),IF(EXACT(D163,E163),"Yes","No"))),"No")</f>
        <v/>
      </c>
    </row>
    <row r="164">
      <c r="A164" s="4" t="inlineStr">
        <is>
          <t>Obligations</t>
        </is>
      </c>
      <c r="B164" s="4" t="inlineStr">
        <is>
          <t>S09: O05</t>
        </is>
      </c>
      <c r="D164" s="5" t="n"/>
      <c r="E164" s="6">
        <f>Obligations!H14</f>
        <v/>
      </c>
      <c r="F164" s="4">
        <f>IF(AND(ISNUMBER(D164),ISNUMBER(E164)),E164-D164,"")</f>
        <v/>
      </c>
      <c r="G164" s="4">
        <f>IFERROR(IF(AND(D164="",E164=""),"Yes",IF(AND(ISNUMBER(D164),ISNUMBER(E164)),IF(ABS(E164-D164)&lt;=1E-9*MAX(1,ABS(D164)),"Yes","No"),IF(EXACT(D164,E164),"Yes","No"))),"No")</f>
        <v/>
      </c>
    </row>
    <row r="165">
      <c r="A165" s="4" t="inlineStr">
        <is>
          <t>Obligations</t>
        </is>
      </c>
      <c r="B165" s="4" t="inlineStr">
        <is>
          <t>S09: O06</t>
        </is>
      </c>
      <c r="D165" s="5" t="n"/>
      <c r="E165" s="6">
        <f>Obligations!I14</f>
        <v/>
      </c>
      <c r="F165" s="4">
        <f>IF(AND(ISNUMBER(D165),ISNUMBER(E165)),E165-D165,"")</f>
        <v/>
      </c>
      <c r="G165" s="4">
        <f>IFERROR(IF(AND(D165="",E165=""),"Yes",IF(AND(ISNUMBER(D165),ISNUMBER(E165)),IF(ABS(E165-D165)&lt;=1E-9*MAX(1,ABS(D165)),"Yes","No"),IF(EXACT(D165,E165),"Yes","No"))),"No")</f>
        <v/>
      </c>
    </row>
    <row r="166">
      <c r="A166" s="4" t="inlineStr">
        <is>
          <t>Obligations</t>
        </is>
      </c>
      <c r="B166" s="4" t="inlineStr">
        <is>
          <t>S09: O07</t>
        </is>
      </c>
      <c r="D166" s="5" t="n"/>
      <c r="E166" s="6">
        <f>Obligations!J14</f>
        <v/>
      </c>
      <c r="F166" s="4">
        <f>IF(AND(ISNUMBER(D166),ISNUMBER(E166)),E166-D166,"")</f>
        <v/>
      </c>
      <c r="G166" s="4">
        <f>IFERROR(IF(AND(D166="",E166=""),"Yes",IF(AND(ISNUMBER(D166),ISNUMBER(E166)),IF(ABS(E166-D166)&lt;=1E-9*MAX(1,ABS(D166)),"Yes","No"),IF(EXACT(D166,E166),"Yes","No"))),"No")</f>
        <v/>
      </c>
    </row>
    <row r="167">
      <c r="A167" s="4" t="inlineStr">
        <is>
          <t>Obligations</t>
        </is>
      </c>
      <c r="B167" s="4" t="inlineStr">
        <is>
          <t>S09: O08</t>
        </is>
      </c>
      <c r="D167" s="5" t="n"/>
      <c r="E167" s="6">
        <f>Obligations!K14</f>
        <v/>
      </c>
      <c r="F167" s="4">
        <f>IF(AND(ISNUMBER(D167),ISNUMBER(E167)),E167-D167,"")</f>
        <v/>
      </c>
      <c r="G167" s="4">
        <f>IFERROR(IF(AND(D167="",E167=""),"Yes",IF(AND(ISNUMBER(D167),ISNUMBER(E167)),IF(ABS(E167-D167)&lt;=1E-9*MAX(1,ABS(D167)),"Yes","No"),IF(EXACT(D167,E167),"Yes","No"))),"No")</f>
        <v/>
      </c>
    </row>
    <row r="168">
      <c r="A168" s="4" t="inlineStr">
        <is>
          <t>Obligations</t>
        </is>
      </c>
      <c r="B168" s="4" t="inlineStr">
        <is>
          <t>S09: O09</t>
        </is>
      </c>
      <c r="D168" s="5" t="n"/>
      <c r="E168" s="6">
        <f>Obligations!L14</f>
        <v/>
      </c>
      <c r="F168" s="4">
        <f>IF(AND(ISNUMBER(D168),ISNUMBER(E168)),E168-D168,"")</f>
        <v/>
      </c>
      <c r="G168" s="4">
        <f>IFERROR(IF(AND(D168="",E168=""),"Yes",IF(AND(ISNUMBER(D168),ISNUMBER(E168)),IF(ABS(E168-D168)&lt;=1E-9*MAX(1,ABS(D168)),"Yes","No"),IF(EXACT(D168,E168),"Yes","No"))),"No")</f>
        <v/>
      </c>
    </row>
    <row r="169">
      <c r="A169" s="4" t="inlineStr">
        <is>
          <t>Obligations</t>
        </is>
      </c>
      <c r="B169" s="4" t="inlineStr">
        <is>
          <t>S09: O10</t>
        </is>
      </c>
      <c r="D169" s="5" t="n"/>
      <c r="E169" s="6">
        <f>Obligations!M14</f>
        <v/>
      </c>
      <c r="F169" s="4">
        <f>IF(AND(ISNUMBER(D169),ISNUMBER(E169)),E169-D169,"")</f>
        <v/>
      </c>
      <c r="G169" s="4">
        <f>IFERROR(IF(AND(D169="",E169=""),"Yes",IF(AND(ISNUMBER(D169),ISNUMBER(E169)),IF(ABS(E169-D169)&lt;=1E-9*MAX(1,ABS(D169)),"Yes","No"),IF(EXACT(D169,E169),"Yes","No"))),"No")</f>
        <v/>
      </c>
    </row>
    <row r="170">
      <c r="A170" s="4" t="inlineStr">
        <is>
          <t>Obligations</t>
        </is>
      </c>
      <c r="B170" s="4" t="inlineStr">
        <is>
          <t>S09: O11</t>
        </is>
      </c>
      <c r="D170" s="5" t="n"/>
      <c r="E170" s="6">
        <f>Obligations!N14</f>
        <v/>
      </c>
      <c r="F170" s="4">
        <f>IF(AND(ISNUMBER(D170),ISNUMBER(E170)),E170-D170,"")</f>
        <v/>
      </c>
      <c r="G170" s="4">
        <f>IFERROR(IF(AND(D170="",E170=""),"Yes",IF(AND(ISNUMBER(D170),ISNUMBER(E170)),IF(ABS(E170-D170)&lt;=1E-9*MAX(1,ABS(D170)),"Yes","No"),IF(EXACT(D170,E170),"Yes","No"))),"No")</f>
        <v/>
      </c>
    </row>
    <row r="171">
      <c r="A171" s="4" t="inlineStr">
        <is>
          <t>Obligations</t>
        </is>
      </c>
      <c r="B171" s="4" t="inlineStr">
        <is>
          <t>S09: O12</t>
        </is>
      </c>
      <c r="D171" s="5" t="n"/>
      <c r="E171" s="6">
        <f>Obligations!O14</f>
        <v/>
      </c>
      <c r="F171" s="4">
        <f>IF(AND(ISNUMBER(D171),ISNUMBER(E171)),E171-D171,"")</f>
        <v/>
      </c>
      <c r="G171" s="4">
        <f>IFERROR(IF(AND(D171="",E171=""),"Yes",IF(AND(ISNUMBER(D171),ISNUMBER(E171)),IF(ABS(E171-D171)&lt;=1E-9*MAX(1,ABS(D171)),"Yes","No"),IF(EXACT(D171,E171),"Yes","No"))),"No")</f>
        <v/>
      </c>
    </row>
    <row r="172">
      <c r="A172" s="4" t="inlineStr">
        <is>
          <t>Obligations</t>
        </is>
      </c>
      <c r="B172" s="4" t="inlineStr">
        <is>
          <t>S09: O13</t>
        </is>
      </c>
      <c r="D172" s="5" t="n"/>
      <c r="E172" s="6">
        <f>Obligations!P14</f>
        <v/>
      </c>
      <c r="F172" s="4">
        <f>IF(AND(ISNUMBER(D172),ISNUMBER(E172)),E172-D172,"")</f>
        <v/>
      </c>
      <c r="G172" s="4">
        <f>IFERROR(IF(AND(D172="",E172=""),"Yes",IF(AND(ISNUMBER(D172),ISNUMBER(E172)),IF(ABS(E172-D172)&lt;=1E-9*MAX(1,ABS(D172)),"Yes","No"),IF(EXACT(D172,E172),"Yes","No"))),"No")</f>
        <v/>
      </c>
    </row>
    <row r="173">
      <c r="A173" s="4" t="inlineStr">
        <is>
          <t>Obligations</t>
        </is>
      </c>
      <c r="B173" s="4" t="inlineStr">
        <is>
          <t>S10: O01</t>
        </is>
      </c>
      <c r="D173" s="5" t="inlineStr">
        <is>
          <t>Yes</t>
        </is>
      </c>
      <c r="E173" s="6">
        <f>Obligations!D15</f>
        <v/>
      </c>
      <c r="F173" s="4">
        <f>IF(AND(ISNUMBER(D173),ISNUMBER(E173)),E173-D173,"")</f>
        <v/>
      </c>
      <c r="G173" s="4">
        <f>IFERROR(IF(AND(D173="",E173=""),"Yes",IF(AND(ISNUMBER(D173),ISNUMBER(E173)),IF(ABS(E173-D173)&lt;=1E-9*MAX(1,ABS(D173)),"Yes","No"),IF(EXACT(D173,E173),"Yes","No"))),"No")</f>
        <v/>
      </c>
    </row>
    <row r="174">
      <c r="A174" s="4" t="inlineStr">
        <is>
          <t>Obligations</t>
        </is>
      </c>
      <c r="B174" s="4" t="inlineStr">
        <is>
          <t>S10: O02</t>
        </is>
      </c>
      <c r="D174" s="5" t="n"/>
      <c r="E174" s="6">
        <f>Obligations!E15</f>
        <v/>
      </c>
      <c r="F174" s="4">
        <f>IF(AND(ISNUMBER(D174),ISNUMBER(E174)),E174-D174,"")</f>
        <v/>
      </c>
      <c r="G174" s="4">
        <f>IFERROR(IF(AND(D174="",E174=""),"Yes",IF(AND(ISNUMBER(D174),ISNUMBER(E174)),IF(ABS(E174-D174)&lt;=1E-9*MAX(1,ABS(D174)),"Yes","No"),IF(EXACT(D174,E174),"Yes","No"))),"No")</f>
        <v/>
      </c>
    </row>
    <row r="175">
      <c r="A175" s="4" t="inlineStr">
        <is>
          <t>Obligations</t>
        </is>
      </c>
      <c r="B175" s="4" t="inlineStr">
        <is>
          <t>S10: O03</t>
        </is>
      </c>
      <c r="D175" s="5" t="n"/>
      <c r="E175" s="6">
        <f>Obligations!F15</f>
        <v/>
      </c>
      <c r="F175" s="4">
        <f>IF(AND(ISNUMBER(D175),ISNUMBER(E175)),E175-D175,"")</f>
        <v/>
      </c>
      <c r="G175" s="4">
        <f>IFERROR(IF(AND(D175="",E175=""),"Yes",IF(AND(ISNUMBER(D175),ISNUMBER(E175)),IF(ABS(E175-D175)&lt;=1E-9*MAX(1,ABS(D175)),"Yes","No"),IF(EXACT(D175,E175),"Yes","No"))),"No")</f>
        <v/>
      </c>
    </row>
    <row r="176">
      <c r="A176" s="4" t="inlineStr">
        <is>
          <t>Obligations</t>
        </is>
      </c>
      <c r="B176" s="4" t="inlineStr">
        <is>
          <t>S10: O04</t>
        </is>
      </c>
      <c r="D176" s="5" t="n"/>
      <c r="E176" s="6">
        <f>Obligations!G15</f>
        <v/>
      </c>
      <c r="F176" s="4">
        <f>IF(AND(ISNUMBER(D176),ISNUMBER(E176)),E176-D176,"")</f>
        <v/>
      </c>
      <c r="G176" s="4">
        <f>IFERROR(IF(AND(D176="",E176=""),"Yes",IF(AND(ISNUMBER(D176),ISNUMBER(E176)),IF(ABS(E176-D176)&lt;=1E-9*MAX(1,ABS(D176)),"Yes","No"),IF(EXACT(D176,E176),"Yes","No"))),"No")</f>
        <v/>
      </c>
    </row>
    <row r="177">
      <c r="A177" s="4" t="inlineStr">
        <is>
          <t>Obligations</t>
        </is>
      </c>
      <c r="B177" s="4" t="inlineStr">
        <is>
          <t>S10: O05</t>
        </is>
      </c>
      <c r="D177" s="5" t="n"/>
      <c r="E177" s="6">
        <f>Obligations!H15</f>
        <v/>
      </c>
      <c r="F177" s="4">
        <f>IF(AND(ISNUMBER(D177),ISNUMBER(E177)),E177-D177,"")</f>
        <v/>
      </c>
      <c r="G177" s="4">
        <f>IFERROR(IF(AND(D177="",E177=""),"Yes",IF(AND(ISNUMBER(D177),ISNUMBER(E177)),IF(ABS(E177-D177)&lt;=1E-9*MAX(1,ABS(D177)),"Yes","No"),IF(EXACT(D177,E177),"Yes","No"))),"No")</f>
        <v/>
      </c>
    </row>
    <row r="178">
      <c r="A178" s="4" t="inlineStr">
        <is>
          <t>Obligations</t>
        </is>
      </c>
      <c r="B178" s="4" t="inlineStr">
        <is>
          <t>S10: O06</t>
        </is>
      </c>
      <c r="D178" s="5" t="n"/>
      <c r="E178" s="6">
        <f>Obligations!I15</f>
        <v/>
      </c>
      <c r="F178" s="4">
        <f>IF(AND(ISNUMBER(D178),ISNUMBER(E178)),E178-D178,"")</f>
        <v/>
      </c>
      <c r="G178" s="4">
        <f>IFERROR(IF(AND(D178="",E178=""),"Yes",IF(AND(ISNUMBER(D178),ISNUMBER(E178)),IF(ABS(E178-D178)&lt;=1E-9*MAX(1,ABS(D178)),"Yes","No"),IF(EXACT(D178,E178),"Yes","No"))),"No")</f>
        <v/>
      </c>
    </row>
    <row r="179">
      <c r="A179" s="4" t="inlineStr">
        <is>
          <t>Obligations</t>
        </is>
      </c>
      <c r="B179" s="4" t="inlineStr">
        <is>
          <t>S10: O07</t>
        </is>
      </c>
      <c r="D179" s="5" t="n"/>
      <c r="E179" s="6">
        <f>Obligations!J15</f>
        <v/>
      </c>
      <c r="F179" s="4">
        <f>IF(AND(ISNUMBER(D179),ISNUMBER(E179)),E179-D179,"")</f>
        <v/>
      </c>
      <c r="G179" s="4">
        <f>IFERROR(IF(AND(D179="",E179=""),"Yes",IF(AND(ISNUMBER(D179),ISNUMBER(E179)),IF(ABS(E179-D179)&lt;=1E-9*MAX(1,ABS(D179)),"Yes","No"),IF(EXACT(D179,E179),"Yes","No"))),"No")</f>
        <v/>
      </c>
    </row>
    <row r="180">
      <c r="A180" s="4" t="inlineStr">
        <is>
          <t>Obligations</t>
        </is>
      </c>
      <c r="B180" s="4" t="inlineStr">
        <is>
          <t>S10: O08</t>
        </is>
      </c>
      <c r="D180" s="5" t="n"/>
      <c r="E180" s="6">
        <f>Obligations!K15</f>
        <v/>
      </c>
      <c r="F180" s="4">
        <f>IF(AND(ISNUMBER(D180),ISNUMBER(E180)),E180-D180,"")</f>
        <v/>
      </c>
      <c r="G180" s="4">
        <f>IFERROR(IF(AND(D180="",E180=""),"Yes",IF(AND(ISNUMBER(D180),ISNUMBER(E180)),IF(ABS(E180-D180)&lt;=1E-9*MAX(1,ABS(D180)),"Yes","No"),IF(EXACT(D180,E180),"Yes","No"))),"No")</f>
        <v/>
      </c>
    </row>
    <row r="181">
      <c r="A181" s="4" t="inlineStr">
        <is>
          <t>Obligations</t>
        </is>
      </c>
      <c r="B181" s="4" t="inlineStr">
        <is>
          <t>S10: O09</t>
        </is>
      </c>
      <c r="D181" s="5" t="n"/>
      <c r="E181" s="6">
        <f>Obligations!L15</f>
        <v/>
      </c>
      <c r="F181" s="4">
        <f>IF(AND(ISNUMBER(D181),ISNUMBER(E181)),E181-D181,"")</f>
        <v/>
      </c>
      <c r="G181" s="4">
        <f>IFERROR(IF(AND(D181="",E181=""),"Yes",IF(AND(ISNUMBER(D181),ISNUMBER(E181)),IF(ABS(E181-D181)&lt;=1E-9*MAX(1,ABS(D181)),"Yes","No"),IF(EXACT(D181,E181),"Yes","No"))),"No")</f>
        <v/>
      </c>
    </row>
    <row r="182">
      <c r="A182" s="4" t="inlineStr">
        <is>
          <t>Obligations</t>
        </is>
      </c>
      <c r="B182" s="4" t="inlineStr">
        <is>
          <t>S10: O10</t>
        </is>
      </c>
      <c r="D182" s="5" t="n"/>
      <c r="E182" s="6">
        <f>Obligations!M15</f>
        <v/>
      </c>
      <c r="F182" s="4">
        <f>IF(AND(ISNUMBER(D182),ISNUMBER(E182)),E182-D182,"")</f>
        <v/>
      </c>
      <c r="G182" s="4">
        <f>IFERROR(IF(AND(D182="",E182=""),"Yes",IF(AND(ISNUMBER(D182),ISNUMBER(E182)),IF(ABS(E182-D182)&lt;=1E-9*MAX(1,ABS(D182)),"Yes","No"),IF(EXACT(D182,E182),"Yes","No"))),"No")</f>
        <v/>
      </c>
    </row>
    <row r="183">
      <c r="A183" s="4" t="inlineStr">
        <is>
          <t>Obligations</t>
        </is>
      </c>
      <c r="B183" s="4" t="inlineStr">
        <is>
          <t>S10: O11</t>
        </is>
      </c>
      <c r="D183" s="5" t="n"/>
      <c r="E183" s="6">
        <f>Obligations!N15</f>
        <v/>
      </c>
      <c r="F183" s="4">
        <f>IF(AND(ISNUMBER(D183),ISNUMBER(E183)),E183-D183,"")</f>
        <v/>
      </c>
      <c r="G183" s="4">
        <f>IFERROR(IF(AND(D183="",E183=""),"Yes",IF(AND(ISNUMBER(D183),ISNUMBER(E183)),IF(ABS(E183-D183)&lt;=1E-9*MAX(1,ABS(D183)),"Yes","No"),IF(EXACT(D183,E183),"Yes","No"))),"No")</f>
        <v/>
      </c>
    </row>
    <row r="184">
      <c r="A184" s="4" t="inlineStr">
        <is>
          <t>Obligations</t>
        </is>
      </c>
      <c r="B184" s="4" t="inlineStr">
        <is>
          <t>S10: O12</t>
        </is>
      </c>
      <c r="D184" s="5" t="n"/>
      <c r="E184" s="6">
        <f>Obligations!O15</f>
        <v/>
      </c>
      <c r="F184" s="4">
        <f>IF(AND(ISNUMBER(D184),ISNUMBER(E184)),E184-D184,"")</f>
        <v/>
      </c>
      <c r="G184" s="4">
        <f>IFERROR(IF(AND(D184="",E184=""),"Yes",IF(AND(ISNUMBER(D184),ISNUMBER(E184)),IF(ABS(E184-D184)&lt;=1E-9*MAX(1,ABS(D184)),"Yes","No"),IF(EXACT(D184,E184),"Yes","No"))),"No")</f>
        <v/>
      </c>
    </row>
    <row r="185">
      <c r="A185" s="4" t="inlineStr">
        <is>
          <t>Obligations</t>
        </is>
      </c>
      <c r="B185" s="4" t="inlineStr">
        <is>
          <t>S10: O13</t>
        </is>
      </c>
      <c r="D185" s="5" t="n"/>
      <c r="E185" s="6">
        <f>Obligations!P15</f>
        <v/>
      </c>
      <c r="F185" s="4">
        <f>IF(AND(ISNUMBER(D185),ISNUMBER(E185)),E185-D185,"")</f>
        <v/>
      </c>
      <c r="G185" s="4">
        <f>IFERROR(IF(AND(D185="",E185=""),"Yes",IF(AND(ISNUMBER(D185),ISNUMBER(E185)),IF(ABS(E185-D185)&lt;=1E-9*MAX(1,ABS(D185)),"Yes","No"),IF(EXACT(D185,E185),"Yes","No"))),"No")</f>
        <v/>
      </c>
    </row>
    <row r="186">
      <c r="A186" s="4" t="inlineStr">
        <is>
          <t>Obligations</t>
        </is>
      </c>
      <c r="B186" s="4" t="inlineStr">
        <is>
          <t>S11: O01</t>
        </is>
      </c>
      <c r="D186" s="5" t="inlineStr">
        <is>
          <t>Yes</t>
        </is>
      </c>
      <c r="E186" s="6">
        <f>Obligations!D16</f>
        <v/>
      </c>
      <c r="F186" s="4">
        <f>IF(AND(ISNUMBER(D186),ISNUMBER(E186)),E186-D186,"")</f>
        <v/>
      </c>
      <c r="G186" s="4">
        <f>IFERROR(IF(AND(D186="",E186=""),"Yes",IF(AND(ISNUMBER(D186),ISNUMBER(E186)),IF(ABS(E186-D186)&lt;=1E-9*MAX(1,ABS(D186)),"Yes","No"),IF(EXACT(D186,E186),"Yes","No"))),"No")</f>
        <v/>
      </c>
    </row>
    <row r="187">
      <c r="A187" s="4" t="inlineStr">
        <is>
          <t>Obligations</t>
        </is>
      </c>
      <c r="B187" s="4" t="inlineStr">
        <is>
          <t>S11: O02</t>
        </is>
      </c>
      <c r="D187" s="5" t="n"/>
      <c r="E187" s="6">
        <f>Obligations!E16</f>
        <v/>
      </c>
      <c r="F187" s="4">
        <f>IF(AND(ISNUMBER(D187),ISNUMBER(E187)),E187-D187,"")</f>
        <v/>
      </c>
      <c r="G187" s="4">
        <f>IFERROR(IF(AND(D187="",E187=""),"Yes",IF(AND(ISNUMBER(D187),ISNUMBER(E187)),IF(ABS(E187-D187)&lt;=1E-9*MAX(1,ABS(D187)),"Yes","No"),IF(EXACT(D187,E187),"Yes","No"))),"No")</f>
        <v/>
      </c>
    </row>
    <row r="188">
      <c r="A188" s="4" t="inlineStr">
        <is>
          <t>Obligations</t>
        </is>
      </c>
      <c r="B188" s="4" t="inlineStr">
        <is>
          <t>S11: O03</t>
        </is>
      </c>
      <c r="D188" s="5" t="n"/>
      <c r="E188" s="6">
        <f>Obligations!F16</f>
        <v/>
      </c>
      <c r="F188" s="4">
        <f>IF(AND(ISNUMBER(D188),ISNUMBER(E188)),E188-D188,"")</f>
        <v/>
      </c>
      <c r="G188" s="4">
        <f>IFERROR(IF(AND(D188="",E188=""),"Yes",IF(AND(ISNUMBER(D188),ISNUMBER(E188)),IF(ABS(E188-D188)&lt;=1E-9*MAX(1,ABS(D188)),"Yes","No"),IF(EXACT(D188,E188),"Yes","No"))),"No")</f>
        <v/>
      </c>
    </row>
    <row r="189">
      <c r="A189" s="4" t="inlineStr">
        <is>
          <t>Obligations</t>
        </is>
      </c>
      <c r="B189" s="4" t="inlineStr">
        <is>
          <t>S11: O04</t>
        </is>
      </c>
      <c r="D189" s="5" t="n"/>
      <c r="E189" s="6">
        <f>Obligations!G16</f>
        <v/>
      </c>
      <c r="F189" s="4">
        <f>IF(AND(ISNUMBER(D189),ISNUMBER(E189)),E189-D189,"")</f>
        <v/>
      </c>
      <c r="G189" s="4">
        <f>IFERROR(IF(AND(D189="",E189=""),"Yes",IF(AND(ISNUMBER(D189),ISNUMBER(E189)),IF(ABS(E189-D189)&lt;=1E-9*MAX(1,ABS(D189)),"Yes","No"),IF(EXACT(D189,E189),"Yes","No"))),"No")</f>
        <v/>
      </c>
    </row>
    <row r="190">
      <c r="A190" s="4" t="inlineStr">
        <is>
          <t>Obligations</t>
        </is>
      </c>
      <c r="B190" s="4" t="inlineStr">
        <is>
          <t>S11: O05</t>
        </is>
      </c>
      <c r="D190" s="5" t="n"/>
      <c r="E190" s="6">
        <f>Obligations!H16</f>
        <v/>
      </c>
      <c r="F190" s="4">
        <f>IF(AND(ISNUMBER(D190),ISNUMBER(E190)),E190-D190,"")</f>
        <v/>
      </c>
      <c r="G190" s="4">
        <f>IFERROR(IF(AND(D190="",E190=""),"Yes",IF(AND(ISNUMBER(D190),ISNUMBER(E190)),IF(ABS(E190-D190)&lt;=1E-9*MAX(1,ABS(D190)),"Yes","No"),IF(EXACT(D190,E190),"Yes","No"))),"No")</f>
        <v/>
      </c>
    </row>
    <row r="191">
      <c r="A191" s="4" t="inlineStr">
        <is>
          <t>Obligations</t>
        </is>
      </c>
      <c r="B191" s="4" t="inlineStr">
        <is>
          <t>S11: O06</t>
        </is>
      </c>
      <c r="D191" s="5" t="n"/>
      <c r="E191" s="6">
        <f>Obligations!I16</f>
        <v/>
      </c>
      <c r="F191" s="4">
        <f>IF(AND(ISNUMBER(D191),ISNUMBER(E191)),E191-D191,"")</f>
        <v/>
      </c>
      <c r="G191" s="4">
        <f>IFERROR(IF(AND(D191="",E191=""),"Yes",IF(AND(ISNUMBER(D191),ISNUMBER(E191)),IF(ABS(E191-D191)&lt;=1E-9*MAX(1,ABS(D191)),"Yes","No"),IF(EXACT(D191,E191),"Yes","No"))),"No")</f>
        <v/>
      </c>
    </row>
    <row r="192">
      <c r="A192" s="4" t="inlineStr">
        <is>
          <t>Obligations</t>
        </is>
      </c>
      <c r="B192" s="4" t="inlineStr">
        <is>
          <t>S11: O07</t>
        </is>
      </c>
      <c r="D192" s="5" t="n"/>
      <c r="E192" s="6">
        <f>Obligations!J16</f>
        <v/>
      </c>
      <c r="F192" s="4">
        <f>IF(AND(ISNUMBER(D192),ISNUMBER(E192)),E192-D192,"")</f>
        <v/>
      </c>
      <c r="G192" s="4">
        <f>IFERROR(IF(AND(D192="",E192=""),"Yes",IF(AND(ISNUMBER(D192),ISNUMBER(E192)),IF(ABS(E192-D192)&lt;=1E-9*MAX(1,ABS(D192)),"Yes","No"),IF(EXACT(D192,E192),"Yes","No"))),"No")</f>
        <v/>
      </c>
    </row>
    <row r="193">
      <c r="A193" s="4" t="inlineStr">
        <is>
          <t>Obligations</t>
        </is>
      </c>
      <c r="B193" s="4" t="inlineStr">
        <is>
          <t>S11: O08</t>
        </is>
      </c>
      <c r="D193" s="5" t="n"/>
      <c r="E193" s="6">
        <f>Obligations!K16</f>
        <v/>
      </c>
      <c r="F193" s="4">
        <f>IF(AND(ISNUMBER(D193),ISNUMBER(E193)),E193-D193,"")</f>
        <v/>
      </c>
      <c r="G193" s="4">
        <f>IFERROR(IF(AND(D193="",E193=""),"Yes",IF(AND(ISNUMBER(D193),ISNUMBER(E193)),IF(ABS(E193-D193)&lt;=1E-9*MAX(1,ABS(D193)),"Yes","No"),IF(EXACT(D193,E193),"Yes","No"))),"No")</f>
        <v/>
      </c>
    </row>
    <row r="194">
      <c r="A194" s="4" t="inlineStr">
        <is>
          <t>Obligations</t>
        </is>
      </c>
      <c r="B194" s="4" t="inlineStr">
        <is>
          <t>S11: O09</t>
        </is>
      </c>
      <c r="D194" s="5" t="n"/>
      <c r="E194" s="6">
        <f>Obligations!L16</f>
        <v/>
      </c>
      <c r="F194" s="4">
        <f>IF(AND(ISNUMBER(D194),ISNUMBER(E194)),E194-D194,"")</f>
        <v/>
      </c>
      <c r="G194" s="4">
        <f>IFERROR(IF(AND(D194="",E194=""),"Yes",IF(AND(ISNUMBER(D194),ISNUMBER(E194)),IF(ABS(E194-D194)&lt;=1E-9*MAX(1,ABS(D194)),"Yes","No"),IF(EXACT(D194,E194),"Yes","No"))),"No")</f>
        <v/>
      </c>
    </row>
    <row r="195">
      <c r="A195" s="4" t="inlineStr">
        <is>
          <t>Obligations</t>
        </is>
      </c>
      <c r="B195" s="4" t="inlineStr">
        <is>
          <t>S11: O10</t>
        </is>
      </c>
      <c r="D195" s="5" t="n"/>
      <c r="E195" s="6">
        <f>Obligations!M16</f>
        <v/>
      </c>
      <c r="F195" s="4">
        <f>IF(AND(ISNUMBER(D195),ISNUMBER(E195)),E195-D195,"")</f>
        <v/>
      </c>
      <c r="G195" s="4">
        <f>IFERROR(IF(AND(D195="",E195=""),"Yes",IF(AND(ISNUMBER(D195),ISNUMBER(E195)),IF(ABS(E195-D195)&lt;=1E-9*MAX(1,ABS(D195)),"Yes","No"),IF(EXACT(D195,E195),"Yes","No"))),"No")</f>
        <v/>
      </c>
    </row>
    <row r="196">
      <c r="A196" s="4" t="inlineStr">
        <is>
          <t>Obligations</t>
        </is>
      </c>
      <c r="B196" s="4" t="inlineStr">
        <is>
          <t>S11: O11</t>
        </is>
      </c>
      <c r="D196" s="5" t="n"/>
      <c r="E196" s="6">
        <f>Obligations!N16</f>
        <v/>
      </c>
      <c r="F196" s="4">
        <f>IF(AND(ISNUMBER(D196),ISNUMBER(E196)),E196-D196,"")</f>
        <v/>
      </c>
      <c r="G196" s="4">
        <f>IFERROR(IF(AND(D196="",E196=""),"Yes",IF(AND(ISNUMBER(D196),ISNUMBER(E196)),IF(ABS(E196-D196)&lt;=1E-9*MAX(1,ABS(D196)),"Yes","No"),IF(EXACT(D196,E196),"Yes","No"))),"No")</f>
        <v/>
      </c>
    </row>
    <row r="197">
      <c r="A197" s="4" t="inlineStr">
        <is>
          <t>Obligations</t>
        </is>
      </c>
      <c r="B197" s="4" t="inlineStr">
        <is>
          <t>S11: O12</t>
        </is>
      </c>
      <c r="D197" s="5" t="n"/>
      <c r="E197" s="6">
        <f>Obligations!O16</f>
        <v/>
      </c>
      <c r="F197" s="4">
        <f>IF(AND(ISNUMBER(D197),ISNUMBER(E197)),E197-D197,"")</f>
        <v/>
      </c>
      <c r="G197" s="4">
        <f>IFERROR(IF(AND(D197="",E197=""),"Yes",IF(AND(ISNUMBER(D197),ISNUMBER(E197)),IF(ABS(E197-D197)&lt;=1E-9*MAX(1,ABS(D197)),"Yes","No"),IF(EXACT(D197,E197),"Yes","No"))),"No")</f>
        <v/>
      </c>
    </row>
    <row r="198">
      <c r="A198" s="4" t="inlineStr">
        <is>
          <t>Obligations</t>
        </is>
      </c>
      <c r="B198" s="4" t="inlineStr">
        <is>
          <t>S11: O13</t>
        </is>
      </c>
      <c r="D198" s="5" t="n"/>
      <c r="E198" s="6">
        <f>Obligations!P16</f>
        <v/>
      </c>
      <c r="F198" s="4">
        <f>IF(AND(ISNUMBER(D198),ISNUMBER(E198)),E198-D198,"")</f>
        <v/>
      </c>
      <c r="G198" s="4">
        <f>IFERROR(IF(AND(D198="",E198=""),"Yes",IF(AND(ISNUMBER(D198),ISNUMBER(E198)),IF(ABS(E198-D198)&lt;=1E-9*MAX(1,ABS(D198)),"Yes","No"),IF(EXACT(D198,E198),"Yes","No"))),"No")</f>
        <v/>
      </c>
    </row>
    <row r="199">
      <c r="A199" s="4" t="inlineStr">
        <is>
          <t>Obligations</t>
        </is>
      </c>
      <c r="B199" s="4" t="inlineStr">
        <is>
          <t>S12: O01</t>
        </is>
      </c>
      <c r="D199" s="5" t="inlineStr">
        <is>
          <t>Yes</t>
        </is>
      </c>
      <c r="E199" s="6">
        <f>Obligations!D17</f>
        <v/>
      </c>
      <c r="F199" s="4">
        <f>IF(AND(ISNUMBER(D199),ISNUMBER(E199)),E199-D199,"")</f>
        <v/>
      </c>
      <c r="G199" s="4">
        <f>IFERROR(IF(AND(D199="",E199=""),"Yes",IF(AND(ISNUMBER(D199),ISNUMBER(E199)),IF(ABS(E199-D199)&lt;=1E-9*MAX(1,ABS(D199)),"Yes","No"),IF(EXACT(D199,E199),"Yes","No"))),"No")</f>
        <v/>
      </c>
    </row>
    <row r="200">
      <c r="A200" s="4" t="inlineStr">
        <is>
          <t>Obligations</t>
        </is>
      </c>
      <c r="B200" s="4" t="inlineStr">
        <is>
          <t>S12: O02</t>
        </is>
      </c>
      <c r="D200" s="5" t="n"/>
      <c r="E200" s="6">
        <f>Obligations!E17</f>
        <v/>
      </c>
      <c r="F200" s="4">
        <f>IF(AND(ISNUMBER(D200),ISNUMBER(E200)),E200-D200,"")</f>
        <v/>
      </c>
      <c r="G200" s="4">
        <f>IFERROR(IF(AND(D200="",E200=""),"Yes",IF(AND(ISNUMBER(D200),ISNUMBER(E200)),IF(ABS(E200-D200)&lt;=1E-9*MAX(1,ABS(D200)),"Yes","No"),IF(EXACT(D200,E200),"Yes","No"))),"No")</f>
        <v/>
      </c>
    </row>
    <row r="201">
      <c r="A201" s="4" t="inlineStr">
        <is>
          <t>Obligations</t>
        </is>
      </c>
      <c r="B201" s="4" t="inlineStr">
        <is>
          <t>S12: O03</t>
        </is>
      </c>
      <c r="D201" s="5" t="n"/>
      <c r="E201" s="6">
        <f>Obligations!F17</f>
        <v/>
      </c>
      <c r="F201" s="4">
        <f>IF(AND(ISNUMBER(D201),ISNUMBER(E201)),E201-D201,"")</f>
        <v/>
      </c>
      <c r="G201" s="4">
        <f>IFERROR(IF(AND(D201="",E201=""),"Yes",IF(AND(ISNUMBER(D201),ISNUMBER(E201)),IF(ABS(E201-D201)&lt;=1E-9*MAX(1,ABS(D201)),"Yes","No"),IF(EXACT(D201,E201),"Yes","No"))),"No")</f>
        <v/>
      </c>
    </row>
    <row r="202">
      <c r="A202" s="4" t="inlineStr">
        <is>
          <t>Obligations</t>
        </is>
      </c>
      <c r="B202" s="4" t="inlineStr">
        <is>
          <t>S12: O04</t>
        </is>
      </c>
      <c r="D202" s="5" t="inlineStr">
        <is>
          <t>Yes</t>
        </is>
      </c>
      <c r="E202" s="6">
        <f>Obligations!G17</f>
        <v/>
      </c>
      <c r="F202" s="4">
        <f>IF(AND(ISNUMBER(D202),ISNUMBER(E202)),E202-D202,"")</f>
        <v/>
      </c>
      <c r="G202" s="4">
        <f>IFERROR(IF(AND(D202="",E202=""),"Yes",IF(AND(ISNUMBER(D202),ISNUMBER(E202)),IF(ABS(E202-D202)&lt;=1E-9*MAX(1,ABS(D202)),"Yes","No"),IF(EXACT(D202,E202),"Yes","No"))),"No")</f>
        <v/>
      </c>
    </row>
    <row r="203">
      <c r="A203" s="4" t="inlineStr">
        <is>
          <t>Obligations</t>
        </is>
      </c>
      <c r="B203" s="4" t="inlineStr">
        <is>
          <t>S12: O05</t>
        </is>
      </c>
      <c r="D203" s="5" t="inlineStr">
        <is>
          <t>Yes</t>
        </is>
      </c>
      <c r="E203" s="6">
        <f>Obligations!H17</f>
        <v/>
      </c>
      <c r="F203" s="4">
        <f>IF(AND(ISNUMBER(D203),ISNUMBER(E203)),E203-D203,"")</f>
        <v/>
      </c>
      <c r="G203" s="4">
        <f>IFERROR(IF(AND(D203="",E203=""),"Yes",IF(AND(ISNUMBER(D203),ISNUMBER(E203)),IF(ABS(E203-D203)&lt;=1E-9*MAX(1,ABS(D203)),"Yes","No"),IF(EXACT(D203,E203),"Yes","No"))),"No")</f>
        <v/>
      </c>
    </row>
    <row r="204">
      <c r="A204" s="4" t="inlineStr">
        <is>
          <t>Obligations</t>
        </is>
      </c>
      <c r="B204" s="4" t="inlineStr">
        <is>
          <t>S12: O06</t>
        </is>
      </c>
      <c r="D204" s="5" t="inlineStr">
        <is>
          <t>Yes</t>
        </is>
      </c>
      <c r="E204" s="6">
        <f>Obligations!I17</f>
        <v/>
      </c>
      <c r="F204" s="4">
        <f>IF(AND(ISNUMBER(D204),ISNUMBER(E204)),E204-D204,"")</f>
        <v/>
      </c>
      <c r="G204" s="4">
        <f>IFERROR(IF(AND(D204="",E204=""),"Yes",IF(AND(ISNUMBER(D204),ISNUMBER(E204)),IF(ABS(E204-D204)&lt;=1E-9*MAX(1,ABS(D204)),"Yes","No"),IF(EXACT(D204,E204),"Yes","No"))),"No")</f>
        <v/>
      </c>
    </row>
    <row r="205">
      <c r="A205" s="4" t="inlineStr">
        <is>
          <t>Obligations</t>
        </is>
      </c>
      <c r="B205" s="4" t="inlineStr">
        <is>
          <t>S12: O07</t>
        </is>
      </c>
      <c r="D205" s="5" t="inlineStr">
        <is>
          <t>Yes</t>
        </is>
      </c>
      <c r="E205" s="6">
        <f>Obligations!J17</f>
        <v/>
      </c>
      <c r="F205" s="4">
        <f>IF(AND(ISNUMBER(D205),ISNUMBER(E205)),E205-D205,"")</f>
        <v/>
      </c>
      <c r="G205" s="4">
        <f>IFERROR(IF(AND(D205="",E205=""),"Yes",IF(AND(ISNUMBER(D205),ISNUMBER(E205)),IF(ABS(E205-D205)&lt;=1E-9*MAX(1,ABS(D205)),"Yes","No"),IF(EXACT(D205,E205),"Yes","No"))),"No")</f>
        <v/>
      </c>
    </row>
    <row r="206">
      <c r="A206" s="4" t="inlineStr">
        <is>
          <t>Obligations</t>
        </is>
      </c>
      <c r="B206" s="4" t="inlineStr">
        <is>
          <t>S12: O08</t>
        </is>
      </c>
      <c r="D206" s="5" t="inlineStr">
        <is>
          <t>Yes</t>
        </is>
      </c>
      <c r="E206" s="6">
        <f>Obligations!K17</f>
        <v/>
      </c>
      <c r="F206" s="4">
        <f>IF(AND(ISNUMBER(D206),ISNUMBER(E206)),E206-D206,"")</f>
        <v/>
      </c>
      <c r="G206" s="4">
        <f>IFERROR(IF(AND(D206="",E206=""),"Yes",IF(AND(ISNUMBER(D206),ISNUMBER(E206)),IF(ABS(E206-D206)&lt;=1E-9*MAX(1,ABS(D206)),"Yes","No"),IF(EXACT(D206,E206),"Yes","No"))),"No")</f>
        <v/>
      </c>
    </row>
    <row r="207">
      <c r="A207" s="4" t="inlineStr">
        <is>
          <t>Obligations</t>
        </is>
      </c>
      <c r="B207" s="4" t="inlineStr">
        <is>
          <t>S12: O09</t>
        </is>
      </c>
      <c r="D207" s="5" t="inlineStr">
        <is>
          <t>Yes</t>
        </is>
      </c>
      <c r="E207" s="6">
        <f>Obligations!L17</f>
        <v/>
      </c>
      <c r="F207" s="4">
        <f>IF(AND(ISNUMBER(D207),ISNUMBER(E207)),E207-D207,"")</f>
        <v/>
      </c>
      <c r="G207" s="4">
        <f>IFERROR(IF(AND(D207="",E207=""),"Yes",IF(AND(ISNUMBER(D207),ISNUMBER(E207)),IF(ABS(E207-D207)&lt;=1E-9*MAX(1,ABS(D207)),"Yes","No"),IF(EXACT(D207,E207),"Yes","No"))),"No")</f>
        <v/>
      </c>
    </row>
    <row r="208">
      <c r="A208" s="4" t="inlineStr">
        <is>
          <t>Obligations</t>
        </is>
      </c>
      <c r="B208" s="4" t="inlineStr">
        <is>
          <t>S12: O10</t>
        </is>
      </c>
      <c r="D208" s="5" t="inlineStr">
        <is>
          <t>Yes</t>
        </is>
      </c>
      <c r="E208" s="6">
        <f>Obligations!M17</f>
        <v/>
      </c>
      <c r="F208" s="4">
        <f>IF(AND(ISNUMBER(D208),ISNUMBER(E208)),E208-D208,"")</f>
        <v/>
      </c>
      <c r="G208" s="4">
        <f>IFERROR(IF(AND(D208="",E208=""),"Yes",IF(AND(ISNUMBER(D208),ISNUMBER(E208)),IF(ABS(E208-D208)&lt;=1E-9*MAX(1,ABS(D208)),"Yes","No"),IF(EXACT(D208,E208),"Yes","No"))),"No")</f>
        <v/>
      </c>
    </row>
    <row r="209">
      <c r="A209" s="4" t="inlineStr">
        <is>
          <t>Obligations</t>
        </is>
      </c>
      <c r="B209" s="4" t="inlineStr">
        <is>
          <t>S12: O11</t>
        </is>
      </c>
      <c r="D209" s="5" t="inlineStr">
        <is>
          <t>Yes</t>
        </is>
      </c>
      <c r="E209" s="6">
        <f>Obligations!N17</f>
        <v/>
      </c>
      <c r="F209" s="4">
        <f>IF(AND(ISNUMBER(D209),ISNUMBER(E209)),E209-D209,"")</f>
        <v/>
      </c>
      <c r="G209" s="4">
        <f>IFERROR(IF(AND(D209="",E209=""),"Yes",IF(AND(ISNUMBER(D209),ISNUMBER(E209)),IF(ABS(E209-D209)&lt;=1E-9*MAX(1,ABS(D209)),"Yes","No"),IF(EXACT(D209,E209),"Yes","No"))),"No")</f>
        <v/>
      </c>
    </row>
    <row r="210">
      <c r="A210" s="4" t="inlineStr">
        <is>
          <t>Obligations</t>
        </is>
      </c>
      <c r="B210" s="4" t="inlineStr">
        <is>
          <t>S12: O12</t>
        </is>
      </c>
      <c r="D210" s="5" t="n"/>
      <c r="E210" s="6">
        <f>Obligations!O17</f>
        <v/>
      </c>
      <c r="F210" s="4">
        <f>IF(AND(ISNUMBER(D210),ISNUMBER(E210)),E210-D210,"")</f>
        <v/>
      </c>
      <c r="G210" s="4">
        <f>IFERROR(IF(AND(D210="",E210=""),"Yes",IF(AND(ISNUMBER(D210),ISNUMBER(E210)),IF(ABS(E210-D210)&lt;=1E-9*MAX(1,ABS(D210)),"Yes","No"),IF(EXACT(D210,E210),"Yes","No"))),"No")</f>
        <v/>
      </c>
    </row>
    <row r="211">
      <c r="A211" s="4" t="inlineStr">
        <is>
          <t>Obligations</t>
        </is>
      </c>
      <c r="B211" s="4" t="inlineStr">
        <is>
          <t>S12: O13</t>
        </is>
      </c>
      <c r="D211" s="5" t="n"/>
      <c r="E211" s="6">
        <f>Obligations!P17</f>
        <v/>
      </c>
      <c r="F211" s="4">
        <f>IF(AND(ISNUMBER(D211),ISNUMBER(E211)),E211-D211,"")</f>
        <v/>
      </c>
      <c r="G211" s="4">
        <f>IFERROR(IF(AND(D211="",E211=""),"Yes",IF(AND(ISNUMBER(D211),ISNUMBER(E211)),IF(ABS(E211-D211)&lt;=1E-9*MAX(1,ABS(D211)),"Yes","No"),IF(EXACT(D211,E211),"Yes","No"))),"No")</f>
        <v/>
      </c>
    </row>
    <row r="212">
      <c r="A212" s="4" t="inlineStr">
        <is>
          <t>Obligations</t>
        </is>
      </c>
      <c r="B212" s="4" t="inlineStr">
        <is>
          <t>O01: systems</t>
        </is>
      </c>
      <c r="D212" s="5" t="n">
        <v>11</v>
      </c>
      <c r="E212" s="6">
        <f>Obligations!D18</f>
        <v/>
      </c>
      <c r="F212" s="4">
        <f>IF(AND(ISNUMBER(D212),ISNUMBER(E212)),E212-D212,"")</f>
        <v/>
      </c>
      <c r="G212" s="4">
        <f>IFERROR(IF(AND(D212="",E212=""),"Yes",IF(AND(ISNUMBER(D212),ISNUMBER(E212)),IF(ABS(E212-D212)&lt;=1E-9*MAX(1,ABS(D212)),"Yes","No"),IF(EXACT(D212,E212),"Yes","No"))),"No")</f>
        <v/>
      </c>
    </row>
    <row r="213">
      <c r="A213" s="4" t="inlineStr">
        <is>
          <t>Obligations</t>
        </is>
      </c>
      <c r="B213" s="4" t="inlineStr">
        <is>
          <t>O02: systems</t>
        </is>
      </c>
      <c r="D213" s="5" t="n">
        <v>1</v>
      </c>
      <c r="E213" s="6">
        <f>Obligations!E18</f>
        <v/>
      </c>
      <c r="F213" s="4">
        <f>IF(AND(ISNUMBER(D213),ISNUMBER(E213)),E213-D213,"")</f>
        <v/>
      </c>
      <c r="G213" s="4">
        <f>IFERROR(IF(AND(D213="",E213=""),"Yes",IF(AND(ISNUMBER(D213),ISNUMBER(E213)),IF(ABS(E213-D213)&lt;=1E-9*MAX(1,ABS(D213)),"Yes","No"),IF(EXACT(D213,E213),"Yes","No"))),"No")</f>
        <v/>
      </c>
    </row>
    <row r="214">
      <c r="A214" s="4" t="inlineStr">
        <is>
          <t>Obligations</t>
        </is>
      </c>
      <c r="B214" s="4" t="inlineStr">
        <is>
          <t>O03: systems</t>
        </is>
      </c>
      <c r="D214" s="5" t="n">
        <v>2</v>
      </c>
      <c r="E214" s="6">
        <f>Obligations!F18</f>
        <v/>
      </c>
      <c r="F214" s="4">
        <f>IF(AND(ISNUMBER(D214),ISNUMBER(E214)),E214-D214,"")</f>
        <v/>
      </c>
      <c r="G214" s="4">
        <f>IFERROR(IF(AND(D214="",E214=""),"Yes",IF(AND(ISNUMBER(D214),ISNUMBER(E214)),IF(ABS(E214-D214)&lt;=1E-9*MAX(1,ABS(D214)),"Yes","No"),IF(EXACT(D214,E214),"Yes","No"))),"No")</f>
        <v/>
      </c>
    </row>
    <row r="215">
      <c r="A215" s="4" t="inlineStr">
        <is>
          <t>Obligations</t>
        </is>
      </c>
      <c r="B215" s="4" t="inlineStr">
        <is>
          <t>O04: systems</t>
        </is>
      </c>
      <c r="D215" s="5" t="n">
        <v>7</v>
      </c>
      <c r="E215" s="6">
        <f>Obligations!G18</f>
        <v/>
      </c>
      <c r="F215" s="4">
        <f>IF(AND(ISNUMBER(D215),ISNUMBER(E215)),E215-D215,"")</f>
        <v/>
      </c>
      <c r="G215" s="4">
        <f>IFERROR(IF(AND(D215="",E215=""),"Yes",IF(AND(ISNUMBER(D215),ISNUMBER(E215)),IF(ABS(E215-D215)&lt;=1E-9*MAX(1,ABS(D215)),"Yes","No"),IF(EXACT(D215,E215),"Yes","No"))),"No")</f>
        <v/>
      </c>
    </row>
    <row r="216">
      <c r="A216" s="4" t="inlineStr">
        <is>
          <t>Obligations</t>
        </is>
      </c>
      <c r="B216" s="4" t="inlineStr">
        <is>
          <t>O05: systems</t>
        </is>
      </c>
      <c r="D216" s="5" t="n">
        <v>7</v>
      </c>
      <c r="E216" s="6">
        <f>Obligations!H18</f>
        <v/>
      </c>
      <c r="F216" s="4">
        <f>IF(AND(ISNUMBER(D216),ISNUMBER(E216)),E216-D216,"")</f>
        <v/>
      </c>
      <c r="G216" s="4">
        <f>IFERROR(IF(AND(D216="",E216=""),"Yes",IF(AND(ISNUMBER(D216),ISNUMBER(E216)),IF(ABS(E216-D216)&lt;=1E-9*MAX(1,ABS(D216)),"Yes","No"),IF(EXACT(D216,E216),"Yes","No"))),"No")</f>
        <v/>
      </c>
    </row>
    <row r="217">
      <c r="A217" s="4" t="inlineStr">
        <is>
          <t>Obligations</t>
        </is>
      </c>
      <c r="B217" s="4" t="inlineStr">
        <is>
          <t>O06: systems</t>
        </is>
      </c>
      <c r="D217" s="5" t="n">
        <v>7</v>
      </c>
      <c r="E217" s="6">
        <f>Obligations!I18</f>
        <v/>
      </c>
      <c r="F217" s="4">
        <f>IF(AND(ISNUMBER(D217),ISNUMBER(E217)),E217-D217,"")</f>
        <v/>
      </c>
      <c r="G217" s="4">
        <f>IFERROR(IF(AND(D217="",E217=""),"Yes",IF(AND(ISNUMBER(D217),ISNUMBER(E217)),IF(ABS(E217-D217)&lt;=1E-9*MAX(1,ABS(D217)),"Yes","No"),IF(EXACT(D217,E217),"Yes","No"))),"No")</f>
        <v/>
      </c>
    </row>
    <row r="218">
      <c r="A218" s="4" t="inlineStr">
        <is>
          <t>Obligations</t>
        </is>
      </c>
      <c r="B218" s="4" t="inlineStr">
        <is>
          <t>O07: systems</t>
        </is>
      </c>
      <c r="D218" s="5" t="n">
        <v>7</v>
      </c>
      <c r="E218" s="6">
        <f>Obligations!J18</f>
        <v/>
      </c>
      <c r="F218" s="4">
        <f>IF(AND(ISNUMBER(D218),ISNUMBER(E218)),E218-D218,"")</f>
        <v/>
      </c>
      <c r="G218" s="4">
        <f>IFERROR(IF(AND(D218="",E218=""),"Yes",IF(AND(ISNUMBER(D218),ISNUMBER(E218)),IF(ABS(E218-D218)&lt;=1E-9*MAX(1,ABS(D218)),"Yes","No"),IF(EXACT(D218,E218),"Yes","No"))),"No")</f>
        <v/>
      </c>
    </row>
    <row r="219">
      <c r="A219" s="4" t="inlineStr">
        <is>
          <t>Obligations</t>
        </is>
      </c>
      <c r="B219" s="4" t="inlineStr">
        <is>
          <t>O08: systems</t>
        </is>
      </c>
      <c r="D219" s="5" t="n">
        <v>5</v>
      </c>
      <c r="E219" s="6">
        <f>Obligations!K18</f>
        <v/>
      </c>
      <c r="F219" s="4">
        <f>IF(AND(ISNUMBER(D219),ISNUMBER(E219)),E219-D219,"")</f>
        <v/>
      </c>
      <c r="G219" s="4">
        <f>IFERROR(IF(AND(D219="",E219=""),"Yes",IF(AND(ISNUMBER(D219),ISNUMBER(E219)),IF(ABS(E219-D219)&lt;=1E-9*MAX(1,ABS(D219)),"Yes","No"),IF(EXACT(D219,E219),"Yes","No"))),"No")</f>
        <v/>
      </c>
    </row>
    <row r="220">
      <c r="A220" s="4" t="inlineStr">
        <is>
          <t>Obligations</t>
        </is>
      </c>
      <c r="B220" s="4" t="inlineStr">
        <is>
          <t>O09: systems</t>
        </is>
      </c>
      <c r="D220" s="5" t="n">
        <v>7</v>
      </c>
      <c r="E220" s="6">
        <f>Obligations!L18</f>
        <v/>
      </c>
      <c r="F220" s="4">
        <f>IF(AND(ISNUMBER(D220),ISNUMBER(E220)),E220-D220,"")</f>
        <v/>
      </c>
      <c r="G220" s="4">
        <f>IFERROR(IF(AND(D220="",E220=""),"Yes",IF(AND(ISNUMBER(D220),ISNUMBER(E220)),IF(ABS(E220-D220)&lt;=1E-9*MAX(1,ABS(D220)),"Yes","No"),IF(EXACT(D220,E220),"Yes","No"))),"No")</f>
        <v/>
      </c>
    </row>
    <row r="221">
      <c r="A221" s="4" t="inlineStr">
        <is>
          <t>Obligations</t>
        </is>
      </c>
      <c r="B221" s="4" t="inlineStr">
        <is>
          <t>O10: systems</t>
        </is>
      </c>
      <c r="D221" s="5" t="n">
        <v>6</v>
      </c>
      <c r="E221" s="6">
        <f>Obligations!M18</f>
        <v/>
      </c>
      <c r="F221" s="4">
        <f>IF(AND(ISNUMBER(D221),ISNUMBER(E221)),E221-D221,"")</f>
        <v/>
      </c>
      <c r="G221" s="4">
        <f>IFERROR(IF(AND(D221="",E221=""),"Yes",IF(AND(ISNUMBER(D221),ISNUMBER(E221)),IF(ABS(E221-D221)&lt;=1E-9*MAX(1,ABS(D221)),"Yes","No"),IF(EXACT(D221,E221),"Yes","No"))),"No")</f>
        <v/>
      </c>
    </row>
    <row r="222">
      <c r="A222" s="4" t="inlineStr">
        <is>
          <t>Obligations</t>
        </is>
      </c>
      <c r="B222" s="4" t="inlineStr">
        <is>
          <t>O11: systems</t>
        </is>
      </c>
      <c r="D222" s="5" t="n">
        <v>6</v>
      </c>
      <c r="E222" s="6">
        <f>Obligations!N18</f>
        <v/>
      </c>
      <c r="F222" s="4">
        <f>IF(AND(ISNUMBER(D222),ISNUMBER(E222)),E222-D222,"")</f>
        <v/>
      </c>
      <c r="G222" s="4">
        <f>IFERROR(IF(AND(D222="",E222=""),"Yes",IF(AND(ISNUMBER(D222),ISNUMBER(E222)),IF(ABS(E222-D222)&lt;=1E-9*MAX(1,ABS(D222)),"Yes","No"),IF(EXACT(D222,E222),"Yes","No"))),"No")</f>
        <v/>
      </c>
    </row>
    <row r="223">
      <c r="A223" s="4" t="inlineStr">
        <is>
          <t>Obligations</t>
        </is>
      </c>
      <c r="B223" s="4" t="inlineStr">
        <is>
          <t>O12: systems</t>
        </is>
      </c>
      <c r="D223" s="5" t="n">
        <v>1</v>
      </c>
      <c r="E223" s="6">
        <f>Obligations!O18</f>
        <v/>
      </c>
      <c r="F223" s="4">
        <f>IF(AND(ISNUMBER(D223),ISNUMBER(E223)),E223-D223,"")</f>
        <v/>
      </c>
      <c r="G223" s="4">
        <f>IFERROR(IF(AND(D223="",E223=""),"Yes",IF(AND(ISNUMBER(D223),ISNUMBER(E223)),IF(ABS(E223-D223)&lt;=1E-9*MAX(1,ABS(D223)),"Yes","No"),IF(EXACT(D223,E223),"Yes","No"))),"No")</f>
        <v/>
      </c>
    </row>
    <row r="224">
      <c r="A224" s="4" t="inlineStr">
        <is>
          <t>Obligations</t>
        </is>
      </c>
      <c r="B224" s="4" t="inlineStr">
        <is>
          <t>O13: systems</t>
        </is>
      </c>
      <c r="D224" s="5" t="n">
        <v>1</v>
      </c>
      <c r="E224" s="6">
        <f>Obligations!P18</f>
        <v/>
      </c>
      <c r="F224" s="4">
        <f>IF(AND(ISNUMBER(D224),ISNUMBER(E224)),E224-D224,"")</f>
        <v/>
      </c>
      <c r="G224" s="4">
        <f>IFERROR(IF(AND(D224="",E224=""),"Yes",IF(AND(ISNUMBER(D224),ISNUMBER(E224)),IF(ABS(E224-D224)&lt;=1E-9*MAX(1,ABS(D224)),"Yes","No"),IF(EXACT(D224,E224),"Yes","No"))),"No")</f>
        <v/>
      </c>
    </row>
    <row r="225">
      <c r="A225" s="4" t="inlineStr">
        <is>
          <t>Workers</t>
        </is>
      </c>
      <c r="B225" s="4" t="inlineStr">
        <is>
          <t>S01: W-IT1</t>
        </is>
      </c>
      <c r="D225" s="5" t="n"/>
      <c r="E225" s="6">
        <f>Workers!D6</f>
        <v/>
      </c>
      <c r="F225" s="4">
        <f>IF(AND(ISNUMBER(D225),ISNUMBER(E225)),E225-D225,"")</f>
        <v/>
      </c>
      <c r="G225" s="4">
        <f>IFERROR(IF(AND(D225="",E225=""),"Yes",IF(AND(ISNUMBER(D225),ISNUMBER(E225)),IF(ABS(E225-D225)&lt;=1E-9*MAX(1,ABS(D225)),"Yes","No"),IF(EXACT(D225,E225),"Yes","No"))),"No")</f>
        <v/>
      </c>
    </row>
    <row r="226">
      <c r="A226" s="4" t="inlineStr">
        <is>
          <t>Workers</t>
        </is>
      </c>
      <c r="B226" s="4" t="inlineStr">
        <is>
          <t>S01: W-IT2</t>
        </is>
      </c>
      <c r="D226" s="5" t="n"/>
      <c r="E226" s="6">
        <f>Workers!E6</f>
        <v/>
      </c>
      <c r="F226" s="4">
        <f>IF(AND(ISNUMBER(D226),ISNUMBER(E226)),E226-D226,"")</f>
        <v/>
      </c>
      <c r="G226" s="4">
        <f>IFERROR(IF(AND(D226="",E226=""),"Yes",IF(AND(ISNUMBER(D226),ISNUMBER(E226)),IF(ABS(E226-D226)&lt;=1E-9*MAX(1,ABS(D226)),"Yes","No"),IF(EXACT(D226,E226),"Yes","No"))),"No")</f>
        <v/>
      </c>
    </row>
    <row r="227">
      <c r="A227" s="4" t="inlineStr">
        <is>
          <t>Workers</t>
        </is>
      </c>
      <c r="B227" s="4" t="inlineStr">
        <is>
          <t>S01: W-DE1</t>
        </is>
      </c>
      <c r="D227" s="5" t="inlineStr">
        <is>
          <t>Yes</t>
        </is>
      </c>
      <c r="E227" s="6">
        <f>Workers!F6</f>
        <v/>
      </c>
      <c r="F227" s="4">
        <f>IF(AND(ISNUMBER(D227),ISNUMBER(E227)),E227-D227,"")</f>
        <v/>
      </c>
      <c r="G227" s="4">
        <f>IFERROR(IF(AND(D227="",E227=""),"Yes",IF(AND(ISNUMBER(D227),ISNUMBER(E227)),IF(ABS(E227-D227)&lt;=1E-9*MAX(1,ABS(D227)),"Yes","No"),IF(EXACT(D227,E227),"Yes","No"))),"No")</f>
        <v/>
      </c>
    </row>
    <row r="228">
      <c r="A228" s="4" t="inlineStr">
        <is>
          <t>Workers</t>
        </is>
      </c>
      <c r="B228" s="4" t="inlineStr">
        <is>
          <t>S01: W-DE2</t>
        </is>
      </c>
      <c r="D228" s="5" t="n"/>
      <c r="E228" s="6">
        <f>Workers!G6</f>
        <v/>
      </c>
      <c r="F228" s="4">
        <f>IF(AND(ISNUMBER(D228),ISNUMBER(E228)),E228-D228,"")</f>
        <v/>
      </c>
      <c r="G228" s="4">
        <f>IFERROR(IF(AND(D228="",E228=""),"Yes",IF(AND(ISNUMBER(D228),ISNUMBER(E228)),IF(ABS(E228-D228)&lt;=1E-9*MAX(1,ABS(D228)),"Yes","No"),IF(EXACT(D228,E228),"Yes","No"))),"No")</f>
        <v/>
      </c>
    </row>
    <row r="229">
      <c r="A229" s="4" t="inlineStr">
        <is>
          <t>Workers</t>
        </is>
      </c>
      <c r="B229" s="4" t="inlineStr">
        <is>
          <t>S01: W-DE3</t>
        </is>
      </c>
      <c r="D229" s="5" t="inlineStr">
        <is>
          <t>Yes</t>
        </is>
      </c>
      <c r="E229" s="6">
        <f>Workers!H6</f>
        <v/>
      </c>
      <c r="F229" s="4">
        <f>IF(AND(ISNUMBER(D229),ISNUMBER(E229)),E229-D229,"")</f>
        <v/>
      </c>
      <c r="G229" s="4">
        <f>IFERROR(IF(AND(D229="",E229=""),"Yes",IF(AND(ISNUMBER(D229),ISNUMBER(E229)),IF(ABS(E229-D229)&lt;=1E-9*MAX(1,ABS(D229)),"Yes","No"),IF(EXACT(D229,E229),"Yes","No"))),"No")</f>
        <v/>
      </c>
    </row>
    <row r="230">
      <c r="A230" s="4" t="inlineStr">
        <is>
          <t>Workers</t>
        </is>
      </c>
      <c r="B230" s="4" t="inlineStr">
        <is>
          <t>S01: W-DE4</t>
        </is>
      </c>
      <c r="D230" s="5" t="inlineStr">
        <is>
          <t>Yes</t>
        </is>
      </c>
      <c r="E230" s="6">
        <f>Workers!I6</f>
        <v/>
      </c>
      <c r="F230" s="4">
        <f>IF(AND(ISNUMBER(D230),ISNUMBER(E230)),E230-D230,"")</f>
        <v/>
      </c>
      <c r="G230" s="4">
        <f>IFERROR(IF(AND(D230="",E230=""),"Yes",IF(AND(ISNUMBER(D230),ISNUMBER(E230)),IF(ABS(E230-D230)&lt;=1E-9*MAX(1,ABS(D230)),"Yes","No"),IF(EXACT(D230,E230),"Yes","No"))),"No")</f>
        <v/>
      </c>
    </row>
    <row r="231">
      <c r="A231" s="4" t="inlineStr">
        <is>
          <t>Workers</t>
        </is>
      </c>
      <c r="B231" s="4" t="inlineStr">
        <is>
          <t>S01: W-ES1</t>
        </is>
      </c>
      <c r="D231" s="5" t="inlineStr">
        <is>
          <t>Yes</t>
        </is>
      </c>
      <c r="E231" s="6">
        <f>Workers!J6</f>
        <v/>
      </c>
      <c r="F231" s="4">
        <f>IF(AND(ISNUMBER(D231),ISNUMBER(E231)),E231-D231,"")</f>
        <v/>
      </c>
      <c r="G231" s="4">
        <f>IFERROR(IF(AND(D231="",E231=""),"Yes",IF(AND(ISNUMBER(D231),ISNUMBER(E231)),IF(ABS(E231-D231)&lt;=1E-9*MAX(1,ABS(D231)),"Yes","No"),IF(EXACT(D231,E231),"Yes","No"))),"No")</f>
        <v/>
      </c>
    </row>
    <row r="232">
      <c r="A232" s="4" t="inlineStr">
        <is>
          <t>Workers</t>
        </is>
      </c>
      <c r="B232" s="4" t="inlineStr">
        <is>
          <t>S01: W-PL1</t>
        </is>
      </c>
      <c r="D232" s="5" t="n"/>
      <c r="E232" s="6">
        <f>Workers!K6</f>
        <v/>
      </c>
      <c r="F232" s="4">
        <f>IF(AND(ISNUMBER(D232),ISNUMBER(E232)),E232-D232,"")</f>
        <v/>
      </c>
      <c r="G232" s="4">
        <f>IFERROR(IF(AND(D232="",E232=""),"Yes",IF(AND(ISNUMBER(D232),ISNUMBER(E232)),IF(ABS(E232-D232)&lt;=1E-9*MAX(1,ABS(D232)),"Yes","No"),IF(EXACT(D232,E232),"Yes","No"))),"No")</f>
        <v/>
      </c>
    </row>
    <row r="233">
      <c r="A233" s="4" t="inlineStr">
        <is>
          <t>Workers</t>
        </is>
      </c>
      <c r="B233" s="4" t="inlineStr">
        <is>
          <t>S02: W-IT1</t>
        </is>
      </c>
      <c r="D233" s="5" t="n"/>
      <c r="E233" s="6">
        <f>Workers!D7</f>
        <v/>
      </c>
      <c r="F233" s="4">
        <f>IF(AND(ISNUMBER(D233),ISNUMBER(E233)),E233-D233,"")</f>
        <v/>
      </c>
      <c r="G233" s="4">
        <f>IFERROR(IF(AND(D233="",E233=""),"Yes",IF(AND(ISNUMBER(D233),ISNUMBER(E233)),IF(ABS(E233-D233)&lt;=1E-9*MAX(1,ABS(D233)),"Yes","No"),IF(EXACT(D233,E233),"Yes","No"))),"No")</f>
        <v/>
      </c>
    </row>
    <row r="234">
      <c r="A234" s="4" t="inlineStr">
        <is>
          <t>Workers</t>
        </is>
      </c>
      <c r="B234" s="4" t="inlineStr">
        <is>
          <t>S02: W-IT2</t>
        </is>
      </c>
      <c r="D234" s="5" t="n"/>
      <c r="E234" s="6">
        <f>Workers!E7</f>
        <v/>
      </c>
      <c r="F234" s="4">
        <f>IF(AND(ISNUMBER(D234),ISNUMBER(E234)),E234-D234,"")</f>
        <v/>
      </c>
      <c r="G234" s="4">
        <f>IFERROR(IF(AND(D234="",E234=""),"Yes",IF(AND(ISNUMBER(D234),ISNUMBER(E234)),IF(ABS(E234-D234)&lt;=1E-9*MAX(1,ABS(D234)),"Yes","No"),IF(EXACT(D234,E234),"Yes","No"))),"No")</f>
        <v/>
      </c>
    </row>
    <row r="235">
      <c r="A235" s="4" t="inlineStr">
        <is>
          <t>Workers</t>
        </is>
      </c>
      <c r="B235" s="4" t="inlineStr">
        <is>
          <t>S02: W-DE1</t>
        </is>
      </c>
      <c r="D235" s="5" t="inlineStr">
        <is>
          <t>Yes</t>
        </is>
      </c>
      <c r="E235" s="6">
        <f>Workers!F7</f>
        <v/>
      </c>
      <c r="F235" s="4">
        <f>IF(AND(ISNUMBER(D235),ISNUMBER(E235)),E235-D235,"")</f>
        <v/>
      </c>
      <c r="G235" s="4">
        <f>IFERROR(IF(AND(D235="",E235=""),"Yes",IF(AND(ISNUMBER(D235),ISNUMBER(E235)),IF(ABS(E235-D235)&lt;=1E-9*MAX(1,ABS(D235)),"Yes","No"),IF(EXACT(D235,E235),"Yes","No"))),"No")</f>
        <v/>
      </c>
    </row>
    <row r="236">
      <c r="A236" s="4" t="inlineStr">
        <is>
          <t>Workers</t>
        </is>
      </c>
      <c r="B236" s="4" t="inlineStr">
        <is>
          <t>S02: W-DE2</t>
        </is>
      </c>
      <c r="D236" s="5" t="n"/>
      <c r="E236" s="6">
        <f>Workers!G7</f>
        <v/>
      </c>
      <c r="F236" s="4">
        <f>IF(AND(ISNUMBER(D236),ISNUMBER(E236)),E236-D236,"")</f>
        <v/>
      </c>
      <c r="G236" s="4">
        <f>IFERROR(IF(AND(D236="",E236=""),"Yes",IF(AND(ISNUMBER(D236),ISNUMBER(E236)),IF(ABS(E236-D236)&lt;=1E-9*MAX(1,ABS(D236)),"Yes","No"),IF(EXACT(D236,E236),"Yes","No"))),"No")</f>
        <v/>
      </c>
    </row>
    <row r="237">
      <c r="A237" s="4" t="inlineStr">
        <is>
          <t>Workers</t>
        </is>
      </c>
      <c r="B237" s="4" t="inlineStr">
        <is>
          <t>S02: W-DE3</t>
        </is>
      </c>
      <c r="D237" s="5" t="n"/>
      <c r="E237" s="6">
        <f>Workers!H7</f>
        <v/>
      </c>
      <c r="F237" s="4">
        <f>IF(AND(ISNUMBER(D237),ISNUMBER(E237)),E237-D237,"")</f>
        <v/>
      </c>
      <c r="G237" s="4">
        <f>IFERROR(IF(AND(D237="",E237=""),"Yes",IF(AND(ISNUMBER(D237),ISNUMBER(E237)),IF(ABS(E237-D237)&lt;=1E-9*MAX(1,ABS(D237)),"Yes","No"),IF(EXACT(D237,E237),"Yes","No"))),"No")</f>
        <v/>
      </c>
    </row>
    <row r="238">
      <c r="A238" s="4" t="inlineStr">
        <is>
          <t>Workers</t>
        </is>
      </c>
      <c r="B238" s="4" t="inlineStr">
        <is>
          <t>S02: W-DE4</t>
        </is>
      </c>
      <c r="D238" s="5" t="inlineStr">
        <is>
          <t>Yes</t>
        </is>
      </c>
      <c r="E238" s="6">
        <f>Workers!I7</f>
        <v/>
      </c>
      <c r="F238" s="4">
        <f>IF(AND(ISNUMBER(D238),ISNUMBER(E238)),E238-D238,"")</f>
        <v/>
      </c>
      <c r="G238" s="4">
        <f>IFERROR(IF(AND(D238="",E238=""),"Yes",IF(AND(ISNUMBER(D238),ISNUMBER(E238)),IF(ABS(E238-D238)&lt;=1E-9*MAX(1,ABS(D238)),"Yes","No"),IF(EXACT(D238,E238),"Yes","No"))),"No")</f>
        <v/>
      </c>
    </row>
    <row r="239">
      <c r="A239" s="4" t="inlineStr">
        <is>
          <t>Workers</t>
        </is>
      </c>
      <c r="B239" s="4" t="inlineStr">
        <is>
          <t>S02: W-ES1</t>
        </is>
      </c>
      <c r="D239" s="5" t="inlineStr">
        <is>
          <t>Yes</t>
        </is>
      </c>
      <c r="E239" s="6">
        <f>Workers!J7</f>
        <v/>
      </c>
      <c r="F239" s="4">
        <f>IF(AND(ISNUMBER(D239),ISNUMBER(E239)),E239-D239,"")</f>
        <v/>
      </c>
      <c r="G239" s="4">
        <f>IFERROR(IF(AND(D239="",E239=""),"Yes",IF(AND(ISNUMBER(D239),ISNUMBER(E239)),IF(ABS(E239-D239)&lt;=1E-9*MAX(1,ABS(D239)),"Yes","No"),IF(EXACT(D239,E239),"Yes","No"))),"No")</f>
        <v/>
      </c>
    </row>
    <row r="240">
      <c r="A240" s="4" t="inlineStr">
        <is>
          <t>Workers</t>
        </is>
      </c>
      <c r="B240" s="4" t="inlineStr">
        <is>
          <t>S02: W-PL1</t>
        </is>
      </c>
      <c r="D240" s="5" t="n"/>
      <c r="E240" s="6">
        <f>Workers!K7</f>
        <v/>
      </c>
      <c r="F240" s="4">
        <f>IF(AND(ISNUMBER(D240),ISNUMBER(E240)),E240-D240,"")</f>
        <v/>
      </c>
      <c r="G240" s="4">
        <f>IFERROR(IF(AND(D240="",E240=""),"Yes",IF(AND(ISNUMBER(D240),ISNUMBER(E240)),IF(ABS(E240-D240)&lt;=1E-9*MAX(1,ABS(D240)),"Yes","No"),IF(EXACT(D240,E240),"Yes","No"))),"No")</f>
        <v/>
      </c>
    </row>
    <row r="241">
      <c r="A241" s="4" t="inlineStr">
        <is>
          <t>Workers</t>
        </is>
      </c>
      <c r="B241" s="4" t="inlineStr">
        <is>
          <t>S03: W-IT1</t>
        </is>
      </c>
      <c r="D241" s="5" t="n"/>
      <c r="E241" s="6">
        <f>Workers!D8</f>
        <v/>
      </c>
      <c r="F241" s="4">
        <f>IF(AND(ISNUMBER(D241),ISNUMBER(E241)),E241-D241,"")</f>
        <v/>
      </c>
      <c r="G241" s="4">
        <f>IFERROR(IF(AND(D241="",E241=""),"Yes",IF(AND(ISNUMBER(D241),ISNUMBER(E241)),IF(ABS(E241-D241)&lt;=1E-9*MAX(1,ABS(D241)),"Yes","No"),IF(EXACT(D241,E241),"Yes","No"))),"No")</f>
        <v/>
      </c>
    </row>
    <row r="242">
      <c r="A242" s="4" t="inlineStr">
        <is>
          <t>Workers</t>
        </is>
      </c>
      <c r="B242" s="4" t="inlineStr">
        <is>
          <t>S03: W-IT2</t>
        </is>
      </c>
      <c r="D242" s="5" t="n"/>
      <c r="E242" s="6">
        <f>Workers!E8</f>
        <v/>
      </c>
      <c r="F242" s="4">
        <f>IF(AND(ISNUMBER(D242),ISNUMBER(E242)),E242-D242,"")</f>
        <v/>
      </c>
      <c r="G242" s="4">
        <f>IFERROR(IF(AND(D242="",E242=""),"Yes",IF(AND(ISNUMBER(D242),ISNUMBER(E242)),IF(ABS(E242-D242)&lt;=1E-9*MAX(1,ABS(D242)),"Yes","No"),IF(EXACT(D242,E242),"Yes","No"))),"No")</f>
        <v/>
      </c>
    </row>
    <row r="243">
      <c r="A243" s="4" t="inlineStr">
        <is>
          <t>Workers</t>
        </is>
      </c>
      <c r="B243" s="4" t="inlineStr">
        <is>
          <t>S03: W-DE1</t>
        </is>
      </c>
      <c r="D243" s="5" t="n"/>
      <c r="E243" s="6">
        <f>Workers!F8</f>
        <v/>
      </c>
      <c r="F243" s="4">
        <f>IF(AND(ISNUMBER(D243),ISNUMBER(E243)),E243-D243,"")</f>
        <v/>
      </c>
      <c r="G243" s="4">
        <f>IFERROR(IF(AND(D243="",E243=""),"Yes",IF(AND(ISNUMBER(D243),ISNUMBER(E243)),IF(ABS(E243-D243)&lt;=1E-9*MAX(1,ABS(D243)),"Yes","No"),IF(EXACT(D243,E243),"Yes","No"))),"No")</f>
        <v/>
      </c>
    </row>
    <row r="244">
      <c r="A244" s="4" t="inlineStr">
        <is>
          <t>Workers</t>
        </is>
      </c>
      <c r="B244" s="4" t="inlineStr">
        <is>
          <t>S03: W-DE2</t>
        </is>
      </c>
      <c r="D244" s="5" t="n"/>
      <c r="E244" s="6">
        <f>Workers!G8</f>
        <v/>
      </c>
      <c r="F244" s="4">
        <f>IF(AND(ISNUMBER(D244),ISNUMBER(E244)),E244-D244,"")</f>
        <v/>
      </c>
      <c r="G244" s="4">
        <f>IFERROR(IF(AND(D244="",E244=""),"Yes",IF(AND(ISNUMBER(D244),ISNUMBER(E244)),IF(ABS(E244-D244)&lt;=1E-9*MAX(1,ABS(D244)),"Yes","No"),IF(EXACT(D244,E244),"Yes","No"))),"No")</f>
        <v/>
      </c>
    </row>
    <row r="245">
      <c r="A245" s="4" t="inlineStr">
        <is>
          <t>Workers</t>
        </is>
      </c>
      <c r="B245" s="4" t="inlineStr">
        <is>
          <t>S03: W-DE3</t>
        </is>
      </c>
      <c r="D245" s="5" t="n"/>
      <c r="E245" s="6">
        <f>Workers!H8</f>
        <v/>
      </c>
      <c r="F245" s="4">
        <f>IF(AND(ISNUMBER(D245),ISNUMBER(E245)),E245-D245,"")</f>
        <v/>
      </c>
      <c r="G245" s="4">
        <f>IFERROR(IF(AND(D245="",E245=""),"Yes",IF(AND(ISNUMBER(D245),ISNUMBER(E245)),IF(ABS(E245-D245)&lt;=1E-9*MAX(1,ABS(D245)),"Yes","No"),IF(EXACT(D245,E245),"Yes","No"))),"No")</f>
        <v/>
      </c>
    </row>
    <row r="246">
      <c r="A246" s="4" t="inlineStr">
        <is>
          <t>Workers</t>
        </is>
      </c>
      <c r="B246" s="4" t="inlineStr">
        <is>
          <t>S03: W-DE4</t>
        </is>
      </c>
      <c r="D246" s="5" t="n"/>
      <c r="E246" s="6">
        <f>Workers!I8</f>
        <v/>
      </c>
      <c r="F246" s="4">
        <f>IF(AND(ISNUMBER(D246),ISNUMBER(E246)),E246-D246,"")</f>
        <v/>
      </c>
      <c r="G246" s="4">
        <f>IFERROR(IF(AND(D246="",E246=""),"Yes",IF(AND(ISNUMBER(D246),ISNUMBER(E246)),IF(ABS(E246-D246)&lt;=1E-9*MAX(1,ABS(D246)),"Yes","No"),IF(EXACT(D246,E246),"Yes","No"))),"No")</f>
        <v/>
      </c>
    </row>
    <row r="247">
      <c r="A247" s="4" t="inlineStr">
        <is>
          <t>Workers</t>
        </is>
      </c>
      <c r="B247" s="4" t="inlineStr">
        <is>
          <t>S03: W-ES1</t>
        </is>
      </c>
      <c r="D247" s="5" t="n"/>
      <c r="E247" s="6">
        <f>Workers!J8</f>
        <v/>
      </c>
      <c r="F247" s="4">
        <f>IF(AND(ISNUMBER(D247),ISNUMBER(E247)),E247-D247,"")</f>
        <v/>
      </c>
      <c r="G247" s="4">
        <f>IFERROR(IF(AND(D247="",E247=""),"Yes",IF(AND(ISNUMBER(D247),ISNUMBER(E247)),IF(ABS(E247-D247)&lt;=1E-9*MAX(1,ABS(D247)),"Yes","No"),IF(EXACT(D247,E247),"Yes","No"))),"No")</f>
        <v/>
      </c>
    </row>
    <row r="248">
      <c r="A248" s="4" t="inlineStr">
        <is>
          <t>Workers</t>
        </is>
      </c>
      <c r="B248" s="4" t="inlineStr">
        <is>
          <t>S03: W-PL1</t>
        </is>
      </c>
      <c r="D248" s="5" t="n"/>
      <c r="E248" s="6">
        <f>Workers!K8</f>
        <v/>
      </c>
      <c r="F248" s="4">
        <f>IF(AND(ISNUMBER(D248),ISNUMBER(E248)),E248-D248,"")</f>
        <v/>
      </c>
      <c r="G248" s="4">
        <f>IFERROR(IF(AND(D248="",E248=""),"Yes",IF(AND(ISNUMBER(D248),ISNUMBER(E248)),IF(ABS(E248-D248)&lt;=1E-9*MAX(1,ABS(D248)),"Yes","No"),IF(EXACT(D248,E248),"Yes","No"))),"No")</f>
        <v/>
      </c>
    </row>
    <row r="249">
      <c r="A249" s="4" t="inlineStr">
        <is>
          <t>Workers</t>
        </is>
      </c>
      <c r="B249" s="4" t="inlineStr">
        <is>
          <t>S04: W-IT1</t>
        </is>
      </c>
      <c r="D249" s="5" t="n"/>
      <c r="E249" s="6">
        <f>Workers!D9</f>
        <v/>
      </c>
      <c r="F249" s="4">
        <f>IF(AND(ISNUMBER(D249),ISNUMBER(E249)),E249-D249,"")</f>
        <v/>
      </c>
      <c r="G249" s="4">
        <f>IFERROR(IF(AND(D249="",E249=""),"Yes",IF(AND(ISNUMBER(D249),ISNUMBER(E249)),IF(ABS(E249-D249)&lt;=1E-9*MAX(1,ABS(D249)),"Yes","No"),IF(EXACT(D249,E249),"Yes","No"))),"No")</f>
        <v/>
      </c>
    </row>
    <row r="250">
      <c r="A250" s="4" t="inlineStr">
        <is>
          <t>Workers</t>
        </is>
      </c>
      <c r="B250" s="4" t="inlineStr">
        <is>
          <t>S04: W-IT2</t>
        </is>
      </c>
      <c r="D250" s="5" t="n"/>
      <c r="E250" s="6">
        <f>Workers!E9</f>
        <v/>
      </c>
      <c r="F250" s="4">
        <f>IF(AND(ISNUMBER(D250),ISNUMBER(E250)),E250-D250,"")</f>
        <v/>
      </c>
      <c r="G250" s="4">
        <f>IFERROR(IF(AND(D250="",E250=""),"Yes",IF(AND(ISNUMBER(D250),ISNUMBER(E250)),IF(ABS(E250-D250)&lt;=1E-9*MAX(1,ABS(D250)),"Yes","No"),IF(EXACT(D250,E250),"Yes","No"))),"No")</f>
        <v/>
      </c>
    </row>
    <row r="251">
      <c r="A251" s="4" t="inlineStr">
        <is>
          <t>Workers</t>
        </is>
      </c>
      <c r="B251" s="4" t="inlineStr">
        <is>
          <t>S04: W-DE1</t>
        </is>
      </c>
      <c r="D251" s="5" t="inlineStr">
        <is>
          <t>Yes</t>
        </is>
      </c>
      <c r="E251" s="6">
        <f>Workers!F9</f>
        <v/>
      </c>
      <c r="F251" s="4">
        <f>IF(AND(ISNUMBER(D251),ISNUMBER(E251)),E251-D251,"")</f>
        <v/>
      </c>
      <c r="G251" s="4">
        <f>IFERROR(IF(AND(D251="",E251=""),"Yes",IF(AND(ISNUMBER(D251),ISNUMBER(E251)),IF(ABS(E251-D251)&lt;=1E-9*MAX(1,ABS(D251)),"Yes","No"),IF(EXACT(D251,E251),"Yes","No"))),"No")</f>
        <v/>
      </c>
    </row>
    <row r="252">
      <c r="A252" s="4" t="inlineStr">
        <is>
          <t>Workers</t>
        </is>
      </c>
      <c r="B252" s="4" t="inlineStr">
        <is>
          <t>S04: W-DE2</t>
        </is>
      </c>
      <c r="D252" s="5" t="n"/>
      <c r="E252" s="6">
        <f>Workers!G9</f>
        <v/>
      </c>
      <c r="F252" s="4">
        <f>IF(AND(ISNUMBER(D252),ISNUMBER(E252)),E252-D252,"")</f>
        <v/>
      </c>
      <c r="G252" s="4">
        <f>IFERROR(IF(AND(D252="",E252=""),"Yes",IF(AND(ISNUMBER(D252),ISNUMBER(E252)),IF(ABS(E252-D252)&lt;=1E-9*MAX(1,ABS(D252)),"Yes","No"),IF(EXACT(D252,E252),"Yes","No"))),"No")</f>
        <v/>
      </c>
    </row>
    <row r="253">
      <c r="A253" s="4" t="inlineStr">
        <is>
          <t>Workers</t>
        </is>
      </c>
      <c r="B253" s="4" t="inlineStr">
        <is>
          <t>S04: W-DE3</t>
        </is>
      </c>
      <c r="D253" s="5" t="n"/>
      <c r="E253" s="6">
        <f>Workers!H9</f>
        <v/>
      </c>
      <c r="F253" s="4">
        <f>IF(AND(ISNUMBER(D253),ISNUMBER(E253)),E253-D253,"")</f>
        <v/>
      </c>
      <c r="G253" s="4">
        <f>IFERROR(IF(AND(D253="",E253=""),"Yes",IF(AND(ISNUMBER(D253),ISNUMBER(E253)),IF(ABS(E253-D253)&lt;=1E-9*MAX(1,ABS(D253)),"Yes","No"),IF(EXACT(D253,E253),"Yes","No"))),"No")</f>
        <v/>
      </c>
    </row>
    <row r="254">
      <c r="A254" s="4" t="inlineStr">
        <is>
          <t>Workers</t>
        </is>
      </c>
      <c r="B254" s="4" t="inlineStr">
        <is>
          <t>S04: W-DE4</t>
        </is>
      </c>
      <c r="D254" s="5" t="inlineStr">
        <is>
          <t>Yes</t>
        </is>
      </c>
      <c r="E254" s="6">
        <f>Workers!I9</f>
        <v/>
      </c>
      <c r="F254" s="4">
        <f>IF(AND(ISNUMBER(D254),ISNUMBER(E254)),E254-D254,"")</f>
        <v/>
      </c>
      <c r="G254" s="4">
        <f>IFERROR(IF(AND(D254="",E254=""),"Yes",IF(AND(ISNUMBER(D254),ISNUMBER(E254)),IF(ABS(E254-D254)&lt;=1E-9*MAX(1,ABS(D254)),"Yes","No"),IF(EXACT(D254,E254),"Yes","No"))),"No")</f>
        <v/>
      </c>
    </row>
    <row r="255">
      <c r="A255" s="4" t="inlineStr">
        <is>
          <t>Workers</t>
        </is>
      </c>
      <c r="B255" s="4" t="inlineStr">
        <is>
          <t>S04: W-ES1</t>
        </is>
      </c>
      <c r="D255" s="5" t="n"/>
      <c r="E255" s="6">
        <f>Workers!J9</f>
        <v/>
      </c>
      <c r="F255" s="4">
        <f>IF(AND(ISNUMBER(D255),ISNUMBER(E255)),E255-D255,"")</f>
        <v/>
      </c>
      <c r="G255" s="4">
        <f>IFERROR(IF(AND(D255="",E255=""),"Yes",IF(AND(ISNUMBER(D255),ISNUMBER(E255)),IF(ABS(E255-D255)&lt;=1E-9*MAX(1,ABS(D255)),"Yes","No"),IF(EXACT(D255,E255),"Yes","No"))),"No")</f>
        <v/>
      </c>
    </row>
    <row r="256">
      <c r="A256" s="4" t="inlineStr">
        <is>
          <t>Workers</t>
        </is>
      </c>
      <c r="B256" s="4" t="inlineStr">
        <is>
          <t>S04: W-PL1</t>
        </is>
      </c>
      <c r="D256" s="5" t="n"/>
      <c r="E256" s="6">
        <f>Workers!K9</f>
        <v/>
      </c>
      <c r="F256" s="4">
        <f>IF(AND(ISNUMBER(D256),ISNUMBER(E256)),E256-D256,"")</f>
        <v/>
      </c>
      <c r="G256" s="4">
        <f>IFERROR(IF(AND(D256="",E256=""),"Yes",IF(AND(ISNUMBER(D256),ISNUMBER(E256)),IF(ABS(E256-D256)&lt;=1E-9*MAX(1,ABS(D256)),"Yes","No"),IF(EXACT(D256,E256),"Yes","No"))),"No")</f>
        <v/>
      </c>
    </row>
    <row r="257">
      <c r="A257" s="4" t="inlineStr">
        <is>
          <t>Workers</t>
        </is>
      </c>
      <c r="B257" s="4" t="inlineStr">
        <is>
          <t>S05: W-IT1</t>
        </is>
      </c>
      <c r="D257" s="5" t="n"/>
      <c r="E257" s="6">
        <f>Workers!D10</f>
        <v/>
      </c>
      <c r="F257" s="4">
        <f>IF(AND(ISNUMBER(D257),ISNUMBER(E257)),E257-D257,"")</f>
        <v/>
      </c>
      <c r="G257" s="4">
        <f>IFERROR(IF(AND(D257="",E257=""),"Yes",IF(AND(ISNUMBER(D257),ISNUMBER(E257)),IF(ABS(E257-D257)&lt;=1E-9*MAX(1,ABS(D257)),"Yes","No"),IF(EXACT(D257,E257),"Yes","No"))),"No")</f>
        <v/>
      </c>
    </row>
    <row r="258">
      <c r="A258" s="4" t="inlineStr">
        <is>
          <t>Workers</t>
        </is>
      </c>
      <c r="B258" s="4" t="inlineStr">
        <is>
          <t>S05: W-IT2</t>
        </is>
      </c>
      <c r="D258" s="5" t="inlineStr">
        <is>
          <t>Yes</t>
        </is>
      </c>
      <c r="E258" s="6">
        <f>Workers!E10</f>
        <v/>
      </c>
      <c r="F258" s="4">
        <f>IF(AND(ISNUMBER(D258),ISNUMBER(E258)),E258-D258,"")</f>
        <v/>
      </c>
      <c r="G258" s="4">
        <f>IFERROR(IF(AND(D258="",E258=""),"Yes",IF(AND(ISNUMBER(D258),ISNUMBER(E258)),IF(ABS(E258-D258)&lt;=1E-9*MAX(1,ABS(D258)),"Yes","No"),IF(EXACT(D258,E258),"Yes","No"))),"No")</f>
        <v/>
      </c>
    </row>
    <row r="259">
      <c r="A259" s="4" t="inlineStr">
        <is>
          <t>Workers</t>
        </is>
      </c>
      <c r="B259" s="4" t="inlineStr">
        <is>
          <t>S05: W-DE1</t>
        </is>
      </c>
      <c r="D259" s="5" t="inlineStr">
        <is>
          <t>Yes</t>
        </is>
      </c>
      <c r="E259" s="6">
        <f>Workers!F10</f>
        <v/>
      </c>
      <c r="F259" s="4">
        <f>IF(AND(ISNUMBER(D259),ISNUMBER(E259)),E259-D259,"")</f>
        <v/>
      </c>
      <c r="G259" s="4">
        <f>IFERROR(IF(AND(D259="",E259=""),"Yes",IF(AND(ISNUMBER(D259),ISNUMBER(E259)),IF(ABS(E259-D259)&lt;=1E-9*MAX(1,ABS(D259)),"Yes","No"),IF(EXACT(D259,E259),"Yes","No"))),"No")</f>
        <v/>
      </c>
    </row>
    <row r="260">
      <c r="A260" s="4" t="inlineStr">
        <is>
          <t>Workers</t>
        </is>
      </c>
      <c r="B260" s="4" t="inlineStr">
        <is>
          <t>S05: W-DE2</t>
        </is>
      </c>
      <c r="D260" s="5" t="inlineStr">
        <is>
          <t>Yes</t>
        </is>
      </c>
      <c r="E260" s="6">
        <f>Workers!G10</f>
        <v/>
      </c>
      <c r="F260" s="4">
        <f>IF(AND(ISNUMBER(D260),ISNUMBER(E260)),E260-D260,"")</f>
        <v/>
      </c>
      <c r="G260" s="4">
        <f>IFERROR(IF(AND(D260="",E260=""),"Yes",IF(AND(ISNUMBER(D260),ISNUMBER(E260)),IF(ABS(E260-D260)&lt;=1E-9*MAX(1,ABS(D260)),"Yes","No"),IF(EXACT(D260,E260),"Yes","No"))),"No")</f>
        <v/>
      </c>
    </row>
    <row r="261">
      <c r="A261" s="4" t="inlineStr">
        <is>
          <t>Workers</t>
        </is>
      </c>
      <c r="B261" s="4" t="inlineStr">
        <is>
          <t>S05: W-DE3</t>
        </is>
      </c>
      <c r="D261" s="5" t="n"/>
      <c r="E261" s="6">
        <f>Workers!H10</f>
        <v/>
      </c>
      <c r="F261" s="4">
        <f>IF(AND(ISNUMBER(D261),ISNUMBER(E261)),E261-D261,"")</f>
        <v/>
      </c>
      <c r="G261" s="4">
        <f>IFERROR(IF(AND(D261="",E261=""),"Yes",IF(AND(ISNUMBER(D261),ISNUMBER(E261)),IF(ABS(E261-D261)&lt;=1E-9*MAX(1,ABS(D261)),"Yes","No"),IF(EXACT(D261,E261),"Yes","No"))),"No")</f>
        <v/>
      </c>
    </row>
    <row r="262">
      <c r="A262" s="4" t="inlineStr">
        <is>
          <t>Workers</t>
        </is>
      </c>
      <c r="B262" s="4" t="inlineStr">
        <is>
          <t>S05: W-DE4</t>
        </is>
      </c>
      <c r="D262" s="5" t="inlineStr">
        <is>
          <t>Yes</t>
        </is>
      </c>
      <c r="E262" s="6">
        <f>Workers!I10</f>
        <v/>
      </c>
      <c r="F262" s="4">
        <f>IF(AND(ISNUMBER(D262),ISNUMBER(E262)),E262-D262,"")</f>
        <v/>
      </c>
      <c r="G262" s="4">
        <f>IFERROR(IF(AND(D262="",E262=""),"Yes",IF(AND(ISNUMBER(D262),ISNUMBER(E262)),IF(ABS(E262-D262)&lt;=1E-9*MAX(1,ABS(D262)),"Yes","No"),IF(EXACT(D262,E262),"Yes","No"))),"No")</f>
        <v/>
      </c>
    </row>
    <row r="263">
      <c r="A263" s="4" t="inlineStr">
        <is>
          <t>Workers</t>
        </is>
      </c>
      <c r="B263" s="4" t="inlineStr">
        <is>
          <t>S05: W-ES1</t>
        </is>
      </c>
      <c r="D263" s="5" t="inlineStr">
        <is>
          <t>Yes</t>
        </is>
      </c>
      <c r="E263" s="6">
        <f>Workers!J10</f>
        <v/>
      </c>
      <c r="F263" s="4">
        <f>IF(AND(ISNUMBER(D263),ISNUMBER(E263)),E263-D263,"")</f>
        <v/>
      </c>
      <c r="G263" s="4">
        <f>IFERROR(IF(AND(D263="",E263=""),"Yes",IF(AND(ISNUMBER(D263),ISNUMBER(E263)),IF(ABS(E263-D263)&lt;=1E-9*MAX(1,ABS(D263)),"Yes","No"),IF(EXACT(D263,E263),"Yes","No"))),"No")</f>
        <v/>
      </c>
    </row>
    <row r="264">
      <c r="A264" s="4" t="inlineStr">
        <is>
          <t>Workers</t>
        </is>
      </c>
      <c r="B264" s="4" t="inlineStr">
        <is>
          <t>S05: W-PL1</t>
        </is>
      </c>
      <c r="D264" s="5" t="inlineStr">
        <is>
          <t>Yes</t>
        </is>
      </c>
      <c r="E264" s="6">
        <f>Workers!K10</f>
        <v/>
      </c>
      <c r="F264" s="4">
        <f>IF(AND(ISNUMBER(D264),ISNUMBER(E264)),E264-D264,"")</f>
        <v/>
      </c>
      <c r="G264" s="4">
        <f>IFERROR(IF(AND(D264="",E264=""),"Yes",IF(AND(ISNUMBER(D264),ISNUMBER(E264)),IF(ABS(E264-D264)&lt;=1E-9*MAX(1,ABS(D264)),"Yes","No"),IF(EXACT(D264,E264),"Yes","No"))),"No")</f>
        <v/>
      </c>
    </row>
    <row r="265">
      <c r="A265" s="4" t="inlineStr">
        <is>
          <t>Workers</t>
        </is>
      </c>
      <c r="B265" s="4" t="inlineStr">
        <is>
          <t>S06: W-IT1</t>
        </is>
      </c>
      <c r="D265" s="5" t="inlineStr">
        <is>
          <t>Yes</t>
        </is>
      </c>
      <c r="E265" s="6">
        <f>Workers!D11</f>
        <v/>
      </c>
      <c r="F265" s="4">
        <f>IF(AND(ISNUMBER(D265),ISNUMBER(E265)),E265-D265,"")</f>
        <v/>
      </c>
      <c r="G265" s="4">
        <f>IFERROR(IF(AND(D265="",E265=""),"Yes",IF(AND(ISNUMBER(D265),ISNUMBER(E265)),IF(ABS(E265-D265)&lt;=1E-9*MAX(1,ABS(D265)),"Yes","No"),IF(EXACT(D265,E265),"Yes","No"))),"No")</f>
        <v/>
      </c>
    </row>
    <row r="266">
      <c r="A266" s="4" t="inlineStr">
        <is>
          <t>Workers</t>
        </is>
      </c>
      <c r="B266" s="4" t="inlineStr">
        <is>
          <t>S06: W-IT2</t>
        </is>
      </c>
      <c r="D266" s="5" t="n"/>
      <c r="E266" s="6">
        <f>Workers!E11</f>
        <v/>
      </c>
      <c r="F266" s="4">
        <f>IF(AND(ISNUMBER(D266),ISNUMBER(E266)),E266-D266,"")</f>
        <v/>
      </c>
      <c r="G266" s="4">
        <f>IFERROR(IF(AND(D266="",E266=""),"Yes",IF(AND(ISNUMBER(D266),ISNUMBER(E266)),IF(ABS(E266-D266)&lt;=1E-9*MAX(1,ABS(D266)),"Yes","No"),IF(EXACT(D266,E266),"Yes","No"))),"No")</f>
        <v/>
      </c>
    </row>
    <row r="267">
      <c r="A267" s="4" t="inlineStr">
        <is>
          <t>Workers</t>
        </is>
      </c>
      <c r="B267" s="4" t="inlineStr">
        <is>
          <t>S06: W-DE1</t>
        </is>
      </c>
      <c r="D267" s="5" t="inlineStr">
        <is>
          <t>Yes</t>
        </is>
      </c>
      <c r="E267" s="6">
        <f>Workers!F11</f>
        <v/>
      </c>
      <c r="F267" s="4">
        <f>IF(AND(ISNUMBER(D267),ISNUMBER(E267)),E267-D267,"")</f>
        <v/>
      </c>
      <c r="G267" s="4">
        <f>IFERROR(IF(AND(D267="",E267=""),"Yes",IF(AND(ISNUMBER(D267),ISNUMBER(E267)),IF(ABS(E267-D267)&lt;=1E-9*MAX(1,ABS(D267)),"Yes","No"),IF(EXACT(D267,E267),"Yes","No"))),"No")</f>
        <v/>
      </c>
    </row>
    <row r="268">
      <c r="A268" s="4" t="inlineStr">
        <is>
          <t>Workers</t>
        </is>
      </c>
      <c r="B268" s="4" t="inlineStr">
        <is>
          <t>S06: W-DE2</t>
        </is>
      </c>
      <c r="D268" s="5" t="inlineStr">
        <is>
          <t>Yes</t>
        </is>
      </c>
      <c r="E268" s="6">
        <f>Workers!G11</f>
        <v/>
      </c>
      <c r="F268" s="4">
        <f>IF(AND(ISNUMBER(D268),ISNUMBER(E268)),E268-D268,"")</f>
        <v/>
      </c>
      <c r="G268" s="4">
        <f>IFERROR(IF(AND(D268="",E268=""),"Yes",IF(AND(ISNUMBER(D268),ISNUMBER(E268)),IF(ABS(E268-D268)&lt;=1E-9*MAX(1,ABS(D268)),"Yes","No"),IF(EXACT(D268,E268),"Yes","No"))),"No")</f>
        <v/>
      </c>
    </row>
    <row r="269">
      <c r="A269" s="4" t="inlineStr">
        <is>
          <t>Workers</t>
        </is>
      </c>
      <c r="B269" s="4" t="inlineStr">
        <is>
          <t>S06: W-DE3</t>
        </is>
      </c>
      <c r="D269" s="5" t="n"/>
      <c r="E269" s="6">
        <f>Workers!H11</f>
        <v/>
      </c>
      <c r="F269" s="4">
        <f>IF(AND(ISNUMBER(D269),ISNUMBER(E269)),E269-D269,"")</f>
        <v/>
      </c>
      <c r="G269" s="4">
        <f>IFERROR(IF(AND(D269="",E269=""),"Yes",IF(AND(ISNUMBER(D269),ISNUMBER(E269)),IF(ABS(E269-D269)&lt;=1E-9*MAX(1,ABS(D269)),"Yes","No"),IF(EXACT(D269,E269),"Yes","No"))),"No")</f>
        <v/>
      </c>
    </row>
    <row r="270">
      <c r="A270" s="4" t="inlineStr">
        <is>
          <t>Workers</t>
        </is>
      </c>
      <c r="B270" s="4" t="inlineStr">
        <is>
          <t>S06: W-DE4</t>
        </is>
      </c>
      <c r="D270" s="5" t="inlineStr">
        <is>
          <t>Yes</t>
        </is>
      </c>
      <c r="E270" s="6">
        <f>Workers!I11</f>
        <v/>
      </c>
      <c r="F270" s="4">
        <f>IF(AND(ISNUMBER(D270),ISNUMBER(E270)),E270-D270,"")</f>
        <v/>
      </c>
      <c r="G270" s="4">
        <f>IFERROR(IF(AND(D270="",E270=""),"Yes",IF(AND(ISNUMBER(D270),ISNUMBER(E270)),IF(ABS(E270-D270)&lt;=1E-9*MAX(1,ABS(D270)),"Yes","No"),IF(EXACT(D270,E270),"Yes","No"))),"No")</f>
        <v/>
      </c>
    </row>
    <row r="271">
      <c r="A271" s="4" t="inlineStr">
        <is>
          <t>Workers</t>
        </is>
      </c>
      <c r="B271" s="4" t="inlineStr">
        <is>
          <t>S06: W-ES1</t>
        </is>
      </c>
      <c r="D271" s="5" t="inlineStr">
        <is>
          <t>Yes</t>
        </is>
      </c>
      <c r="E271" s="6">
        <f>Workers!J11</f>
        <v/>
      </c>
      <c r="F271" s="4">
        <f>IF(AND(ISNUMBER(D271),ISNUMBER(E271)),E271-D271,"")</f>
        <v/>
      </c>
      <c r="G271" s="4">
        <f>IFERROR(IF(AND(D271="",E271=""),"Yes",IF(AND(ISNUMBER(D271),ISNUMBER(E271)),IF(ABS(E271-D271)&lt;=1E-9*MAX(1,ABS(D271)),"Yes","No"),IF(EXACT(D271,E271),"Yes","No"))),"No")</f>
        <v/>
      </c>
    </row>
    <row r="272">
      <c r="A272" s="4" t="inlineStr">
        <is>
          <t>Workers</t>
        </is>
      </c>
      <c r="B272" s="4" t="inlineStr">
        <is>
          <t>S06: W-PL1</t>
        </is>
      </c>
      <c r="D272" s="5" t="n"/>
      <c r="E272" s="6">
        <f>Workers!K11</f>
        <v/>
      </c>
      <c r="F272" s="4">
        <f>IF(AND(ISNUMBER(D272),ISNUMBER(E272)),E272-D272,"")</f>
        <v/>
      </c>
      <c r="G272" s="4">
        <f>IFERROR(IF(AND(D272="",E272=""),"Yes",IF(AND(ISNUMBER(D272),ISNUMBER(E272)),IF(ABS(E272-D272)&lt;=1E-9*MAX(1,ABS(D272)),"Yes","No"),IF(EXACT(D272,E272),"Yes","No"))),"No")</f>
        <v/>
      </c>
    </row>
    <row r="273">
      <c r="A273" s="4" t="inlineStr">
        <is>
          <t>Workers</t>
        </is>
      </c>
      <c r="B273" s="4" t="inlineStr">
        <is>
          <t>S07: W-IT1</t>
        </is>
      </c>
      <c r="D273" s="5" t="n"/>
      <c r="E273" s="6">
        <f>Workers!D12</f>
        <v/>
      </c>
      <c r="F273" s="4">
        <f>IF(AND(ISNUMBER(D273),ISNUMBER(E273)),E273-D273,"")</f>
        <v/>
      </c>
      <c r="G273" s="4">
        <f>IFERROR(IF(AND(D273="",E273=""),"Yes",IF(AND(ISNUMBER(D273),ISNUMBER(E273)),IF(ABS(E273-D273)&lt;=1E-9*MAX(1,ABS(D273)),"Yes","No"),IF(EXACT(D273,E273),"Yes","No"))),"No")</f>
        <v/>
      </c>
    </row>
    <row r="274">
      <c r="A274" s="4" t="inlineStr">
        <is>
          <t>Workers</t>
        </is>
      </c>
      <c r="B274" s="4" t="inlineStr">
        <is>
          <t>S07: W-IT2</t>
        </is>
      </c>
      <c r="D274" s="5" t="n"/>
      <c r="E274" s="6">
        <f>Workers!E12</f>
        <v/>
      </c>
      <c r="F274" s="4">
        <f>IF(AND(ISNUMBER(D274),ISNUMBER(E274)),E274-D274,"")</f>
        <v/>
      </c>
      <c r="G274" s="4">
        <f>IFERROR(IF(AND(D274="",E274=""),"Yes",IF(AND(ISNUMBER(D274),ISNUMBER(E274)),IF(ABS(E274-D274)&lt;=1E-9*MAX(1,ABS(D274)),"Yes","No"),IF(EXACT(D274,E274),"Yes","No"))),"No")</f>
        <v/>
      </c>
    </row>
    <row r="275">
      <c r="A275" s="4" t="inlineStr">
        <is>
          <t>Workers</t>
        </is>
      </c>
      <c r="B275" s="4" t="inlineStr">
        <is>
          <t>S07: W-DE1</t>
        </is>
      </c>
      <c r="D275" s="5" t="inlineStr">
        <is>
          <t>Yes</t>
        </is>
      </c>
      <c r="E275" s="6">
        <f>Workers!F12</f>
        <v/>
      </c>
      <c r="F275" s="4">
        <f>IF(AND(ISNUMBER(D275),ISNUMBER(E275)),E275-D275,"")</f>
        <v/>
      </c>
      <c r="G275" s="4">
        <f>IFERROR(IF(AND(D275="",E275=""),"Yes",IF(AND(ISNUMBER(D275),ISNUMBER(E275)),IF(ABS(E275-D275)&lt;=1E-9*MAX(1,ABS(D275)),"Yes","No"),IF(EXACT(D275,E275),"Yes","No"))),"No")</f>
        <v/>
      </c>
    </row>
    <row r="276">
      <c r="A276" s="4" t="inlineStr">
        <is>
          <t>Workers</t>
        </is>
      </c>
      <c r="B276" s="4" t="inlineStr">
        <is>
          <t>S07: W-DE2</t>
        </is>
      </c>
      <c r="D276" s="5" t="inlineStr">
        <is>
          <t>Yes</t>
        </is>
      </c>
      <c r="E276" s="6">
        <f>Workers!G12</f>
        <v/>
      </c>
      <c r="F276" s="4">
        <f>IF(AND(ISNUMBER(D276),ISNUMBER(E276)),E276-D276,"")</f>
        <v/>
      </c>
      <c r="G276" s="4">
        <f>IFERROR(IF(AND(D276="",E276=""),"Yes",IF(AND(ISNUMBER(D276),ISNUMBER(E276)),IF(ABS(E276-D276)&lt;=1E-9*MAX(1,ABS(D276)),"Yes","No"),IF(EXACT(D276,E276),"Yes","No"))),"No")</f>
        <v/>
      </c>
    </row>
    <row r="277">
      <c r="A277" s="4" t="inlineStr">
        <is>
          <t>Workers</t>
        </is>
      </c>
      <c r="B277" s="4" t="inlineStr">
        <is>
          <t>S07: W-DE3</t>
        </is>
      </c>
      <c r="D277" s="5" t="n"/>
      <c r="E277" s="6">
        <f>Workers!H12</f>
        <v/>
      </c>
      <c r="F277" s="4">
        <f>IF(AND(ISNUMBER(D277),ISNUMBER(E277)),E277-D277,"")</f>
        <v/>
      </c>
      <c r="G277" s="4">
        <f>IFERROR(IF(AND(D277="",E277=""),"Yes",IF(AND(ISNUMBER(D277),ISNUMBER(E277)),IF(ABS(E277-D277)&lt;=1E-9*MAX(1,ABS(D277)),"Yes","No"),IF(EXACT(D277,E277),"Yes","No"))),"No")</f>
        <v/>
      </c>
    </row>
    <row r="278">
      <c r="A278" s="4" t="inlineStr">
        <is>
          <t>Workers</t>
        </is>
      </c>
      <c r="B278" s="4" t="inlineStr">
        <is>
          <t>S07: W-DE4</t>
        </is>
      </c>
      <c r="D278" s="5" t="inlineStr">
        <is>
          <t>Yes</t>
        </is>
      </c>
      <c r="E278" s="6">
        <f>Workers!I12</f>
        <v/>
      </c>
      <c r="F278" s="4">
        <f>IF(AND(ISNUMBER(D278),ISNUMBER(E278)),E278-D278,"")</f>
        <v/>
      </c>
      <c r="G278" s="4">
        <f>IFERROR(IF(AND(D278="",E278=""),"Yes",IF(AND(ISNUMBER(D278),ISNUMBER(E278)),IF(ABS(E278-D278)&lt;=1E-9*MAX(1,ABS(D278)),"Yes","No"),IF(EXACT(D278,E278),"Yes","No"))),"No")</f>
        <v/>
      </c>
    </row>
    <row r="279">
      <c r="A279" s="4" t="inlineStr">
        <is>
          <t>Workers</t>
        </is>
      </c>
      <c r="B279" s="4" t="inlineStr">
        <is>
          <t>S07: W-ES1</t>
        </is>
      </c>
      <c r="D279" s="5" t="inlineStr">
        <is>
          <t>Yes</t>
        </is>
      </c>
      <c r="E279" s="6">
        <f>Workers!J12</f>
        <v/>
      </c>
      <c r="F279" s="4">
        <f>IF(AND(ISNUMBER(D279),ISNUMBER(E279)),E279-D279,"")</f>
        <v/>
      </c>
      <c r="G279" s="4">
        <f>IFERROR(IF(AND(D279="",E279=""),"Yes",IF(AND(ISNUMBER(D279),ISNUMBER(E279)),IF(ABS(E279-D279)&lt;=1E-9*MAX(1,ABS(D279)),"Yes","No"),IF(EXACT(D279,E279),"Yes","No"))),"No")</f>
        <v/>
      </c>
    </row>
    <row r="280">
      <c r="A280" s="4" t="inlineStr">
        <is>
          <t>Workers</t>
        </is>
      </c>
      <c r="B280" s="4" t="inlineStr">
        <is>
          <t>S07: W-PL1</t>
        </is>
      </c>
      <c r="D280" s="5" t="n"/>
      <c r="E280" s="6">
        <f>Workers!K12</f>
        <v/>
      </c>
      <c r="F280" s="4">
        <f>IF(AND(ISNUMBER(D280),ISNUMBER(E280)),E280-D280,"")</f>
        <v/>
      </c>
      <c r="G280" s="4">
        <f>IFERROR(IF(AND(D280="",E280=""),"Yes",IF(AND(ISNUMBER(D280),ISNUMBER(E280)),IF(ABS(E280-D280)&lt;=1E-9*MAX(1,ABS(D280)),"Yes","No"),IF(EXACT(D280,E280),"Yes","No"))),"No")</f>
        <v/>
      </c>
    </row>
    <row r="281">
      <c r="A281" s="4" t="inlineStr">
        <is>
          <t>Workers</t>
        </is>
      </c>
      <c r="B281" s="4" t="inlineStr">
        <is>
          <t>S08: W-IT1</t>
        </is>
      </c>
      <c r="D281" s="5" t="n"/>
      <c r="E281" s="6">
        <f>Workers!D13</f>
        <v/>
      </c>
      <c r="F281" s="4">
        <f>IF(AND(ISNUMBER(D281),ISNUMBER(E281)),E281-D281,"")</f>
        <v/>
      </c>
      <c r="G281" s="4">
        <f>IFERROR(IF(AND(D281="",E281=""),"Yes",IF(AND(ISNUMBER(D281),ISNUMBER(E281)),IF(ABS(E281-D281)&lt;=1E-9*MAX(1,ABS(D281)),"Yes","No"),IF(EXACT(D281,E281),"Yes","No"))),"No")</f>
        <v/>
      </c>
    </row>
    <row r="282">
      <c r="A282" s="4" t="inlineStr">
        <is>
          <t>Workers</t>
        </is>
      </c>
      <c r="B282" s="4" t="inlineStr">
        <is>
          <t>S08: W-IT2</t>
        </is>
      </c>
      <c r="D282" s="5" t="n"/>
      <c r="E282" s="6">
        <f>Workers!E13</f>
        <v/>
      </c>
      <c r="F282" s="4">
        <f>IF(AND(ISNUMBER(D282),ISNUMBER(E282)),E282-D282,"")</f>
        <v/>
      </c>
      <c r="G282" s="4">
        <f>IFERROR(IF(AND(D282="",E282=""),"Yes",IF(AND(ISNUMBER(D282),ISNUMBER(E282)),IF(ABS(E282-D282)&lt;=1E-9*MAX(1,ABS(D282)),"Yes","No"),IF(EXACT(D282,E282),"Yes","No"))),"No")</f>
        <v/>
      </c>
    </row>
    <row r="283">
      <c r="A283" s="4" t="inlineStr">
        <is>
          <t>Workers</t>
        </is>
      </c>
      <c r="B283" s="4" t="inlineStr">
        <is>
          <t>S08: W-DE1</t>
        </is>
      </c>
      <c r="D283" s="5" t="inlineStr">
        <is>
          <t>Yes</t>
        </is>
      </c>
      <c r="E283" s="6">
        <f>Workers!F13</f>
        <v/>
      </c>
      <c r="F283" s="4">
        <f>IF(AND(ISNUMBER(D283),ISNUMBER(E283)),E283-D283,"")</f>
        <v/>
      </c>
      <c r="G283" s="4">
        <f>IFERROR(IF(AND(D283="",E283=""),"Yes",IF(AND(ISNUMBER(D283),ISNUMBER(E283)),IF(ABS(E283-D283)&lt;=1E-9*MAX(1,ABS(D283)),"Yes","No"),IF(EXACT(D283,E283),"Yes","No"))),"No")</f>
        <v/>
      </c>
    </row>
    <row r="284">
      <c r="A284" s="4" t="inlineStr">
        <is>
          <t>Workers</t>
        </is>
      </c>
      <c r="B284" s="4" t="inlineStr">
        <is>
          <t>S08: W-DE2</t>
        </is>
      </c>
      <c r="D284" s="5" t="inlineStr">
        <is>
          <t>Yes</t>
        </is>
      </c>
      <c r="E284" s="6">
        <f>Workers!G13</f>
        <v/>
      </c>
      <c r="F284" s="4">
        <f>IF(AND(ISNUMBER(D284),ISNUMBER(E284)),E284-D284,"")</f>
        <v/>
      </c>
      <c r="G284" s="4">
        <f>IFERROR(IF(AND(D284="",E284=""),"Yes",IF(AND(ISNUMBER(D284),ISNUMBER(E284)),IF(ABS(E284-D284)&lt;=1E-9*MAX(1,ABS(D284)),"Yes","No"),IF(EXACT(D284,E284),"Yes","No"))),"No")</f>
        <v/>
      </c>
    </row>
    <row r="285">
      <c r="A285" s="4" t="inlineStr">
        <is>
          <t>Workers</t>
        </is>
      </c>
      <c r="B285" s="4" t="inlineStr">
        <is>
          <t>S08: W-DE3</t>
        </is>
      </c>
      <c r="D285" s="5" t="n"/>
      <c r="E285" s="6">
        <f>Workers!H13</f>
        <v/>
      </c>
      <c r="F285" s="4">
        <f>IF(AND(ISNUMBER(D285),ISNUMBER(E285)),E285-D285,"")</f>
        <v/>
      </c>
      <c r="G285" s="4">
        <f>IFERROR(IF(AND(D285="",E285=""),"Yes",IF(AND(ISNUMBER(D285),ISNUMBER(E285)),IF(ABS(E285-D285)&lt;=1E-9*MAX(1,ABS(D285)),"Yes","No"),IF(EXACT(D285,E285),"Yes","No"))),"No")</f>
        <v/>
      </c>
    </row>
    <row r="286">
      <c r="A286" s="4" t="inlineStr">
        <is>
          <t>Workers</t>
        </is>
      </c>
      <c r="B286" s="4" t="inlineStr">
        <is>
          <t>S08: W-DE4</t>
        </is>
      </c>
      <c r="D286" s="5" t="inlineStr">
        <is>
          <t>Yes</t>
        </is>
      </c>
      <c r="E286" s="6">
        <f>Workers!I13</f>
        <v/>
      </c>
      <c r="F286" s="4">
        <f>IF(AND(ISNUMBER(D286),ISNUMBER(E286)),E286-D286,"")</f>
        <v/>
      </c>
      <c r="G286" s="4">
        <f>IFERROR(IF(AND(D286="",E286=""),"Yes",IF(AND(ISNUMBER(D286),ISNUMBER(E286)),IF(ABS(E286-D286)&lt;=1E-9*MAX(1,ABS(D286)),"Yes","No"),IF(EXACT(D286,E286),"Yes","No"))),"No")</f>
        <v/>
      </c>
    </row>
    <row r="287">
      <c r="A287" s="4" t="inlineStr">
        <is>
          <t>Workers</t>
        </is>
      </c>
      <c r="B287" s="4" t="inlineStr">
        <is>
          <t>S08: W-ES1</t>
        </is>
      </c>
      <c r="D287" s="5" t="inlineStr">
        <is>
          <t>Yes</t>
        </is>
      </c>
      <c r="E287" s="6">
        <f>Workers!J13</f>
        <v/>
      </c>
      <c r="F287" s="4">
        <f>IF(AND(ISNUMBER(D287),ISNUMBER(E287)),E287-D287,"")</f>
        <v/>
      </c>
      <c r="G287" s="4">
        <f>IFERROR(IF(AND(D287="",E287=""),"Yes",IF(AND(ISNUMBER(D287),ISNUMBER(E287)),IF(ABS(E287-D287)&lt;=1E-9*MAX(1,ABS(D287)),"Yes","No"),IF(EXACT(D287,E287),"Yes","No"))),"No")</f>
        <v/>
      </c>
    </row>
    <row r="288">
      <c r="A288" s="4" t="inlineStr">
        <is>
          <t>Workers</t>
        </is>
      </c>
      <c r="B288" s="4" t="inlineStr">
        <is>
          <t>S08: W-PL1</t>
        </is>
      </c>
      <c r="D288" s="5" t="n"/>
      <c r="E288" s="6">
        <f>Workers!K13</f>
        <v/>
      </c>
      <c r="F288" s="4">
        <f>IF(AND(ISNUMBER(D288),ISNUMBER(E288)),E288-D288,"")</f>
        <v/>
      </c>
      <c r="G288" s="4">
        <f>IFERROR(IF(AND(D288="",E288=""),"Yes",IF(AND(ISNUMBER(D288),ISNUMBER(E288)),IF(ABS(E288-D288)&lt;=1E-9*MAX(1,ABS(D288)),"Yes","No"),IF(EXACT(D288,E288),"Yes","No"))),"No")</f>
        <v/>
      </c>
    </row>
    <row r="289">
      <c r="A289" s="4" t="inlineStr">
        <is>
          <t>Workers</t>
        </is>
      </c>
      <c r="B289" s="4" t="inlineStr">
        <is>
          <t>S09: W-IT1</t>
        </is>
      </c>
      <c r="D289" s="5" t="n"/>
      <c r="E289" s="6">
        <f>Workers!D14</f>
        <v/>
      </c>
      <c r="F289" s="4">
        <f>IF(AND(ISNUMBER(D289),ISNUMBER(E289)),E289-D289,"")</f>
        <v/>
      </c>
      <c r="G289" s="4">
        <f>IFERROR(IF(AND(D289="",E289=""),"Yes",IF(AND(ISNUMBER(D289),ISNUMBER(E289)),IF(ABS(E289-D289)&lt;=1E-9*MAX(1,ABS(D289)),"Yes","No"),IF(EXACT(D289,E289),"Yes","No"))),"No")</f>
        <v/>
      </c>
    </row>
    <row r="290">
      <c r="A290" s="4" t="inlineStr">
        <is>
          <t>Workers</t>
        </is>
      </c>
      <c r="B290" s="4" t="inlineStr">
        <is>
          <t>S09: W-IT2</t>
        </is>
      </c>
      <c r="D290" s="5" t="n"/>
      <c r="E290" s="6">
        <f>Workers!E14</f>
        <v/>
      </c>
      <c r="F290" s="4">
        <f>IF(AND(ISNUMBER(D290),ISNUMBER(E290)),E290-D290,"")</f>
        <v/>
      </c>
      <c r="G290" s="4">
        <f>IFERROR(IF(AND(D290="",E290=""),"Yes",IF(AND(ISNUMBER(D290),ISNUMBER(E290)),IF(ABS(E290-D290)&lt;=1E-9*MAX(1,ABS(D290)),"Yes","No"),IF(EXACT(D290,E290),"Yes","No"))),"No")</f>
        <v/>
      </c>
    </row>
    <row r="291">
      <c r="A291" s="4" t="inlineStr">
        <is>
          <t>Workers</t>
        </is>
      </c>
      <c r="B291" s="4" t="inlineStr">
        <is>
          <t>S09: W-DE1</t>
        </is>
      </c>
      <c r="D291" s="5" t="inlineStr">
        <is>
          <t>Yes</t>
        </is>
      </c>
      <c r="E291" s="6">
        <f>Workers!F14</f>
        <v/>
      </c>
      <c r="F291" s="4">
        <f>IF(AND(ISNUMBER(D291),ISNUMBER(E291)),E291-D291,"")</f>
        <v/>
      </c>
      <c r="G291" s="4">
        <f>IFERROR(IF(AND(D291="",E291=""),"Yes",IF(AND(ISNUMBER(D291),ISNUMBER(E291)),IF(ABS(E291-D291)&lt;=1E-9*MAX(1,ABS(D291)),"Yes","No"),IF(EXACT(D291,E291),"Yes","No"))),"No")</f>
        <v/>
      </c>
    </row>
    <row r="292">
      <c r="A292" s="4" t="inlineStr">
        <is>
          <t>Workers</t>
        </is>
      </c>
      <c r="B292" s="4" t="inlineStr">
        <is>
          <t>S09: W-DE2</t>
        </is>
      </c>
      <c r="D292" s="5" t="n"/>
      <c r="E292" s="6">
        <f>Workers!G14</f>
        <v/>
      </c>
      <c r="F292" s="4">
        <f>IF(AND(ISNUMBER(D292),ISNUMBER(E292)),E292-D292,"")</f>
        <v/>
      </c>
      <c r="G292" s="4">
        <f>IFERROR(IF(AND(D292="",E292=""),"Yes",IF(AND(ISNUMBER(D292),ISNUMBER(E292)),IF(ABS(E292-D292)&lt;=1E-9*MAX(1,ABS(D292)),"Yes","No"),IF(EXACT(D292,E292),"Yes","No"))),"No")</f>
        <v/>
      </c>
    </row>
    <row r="293">
      <c r="A293" s="4" t="inlineStr">
        <is>
          <t>Workers</t>
        </is>
      </c>
      <c r="B293" s="4" t="inlineStr">
        <is>
          <t>S09: W-DE3</t>
        </is>
      </c>
      <c r="D293" s="5" t="n"/>
      <c r="E293" s="6">
        <f>Workers!H14</f>
        <v/>
      </c>
      <c r="F293" s="4">
        <f>IF(AND(ISNUMBER(D293),ISNUMBER(E293)),E293-D293,"")</f>
        <v/>
      </c>
      <c r="G293" s="4">
        <f>IFERROR(IF(AND(D293="",E293=""),"Yes",IF(AND(ISNUMBER(D293),ISNUMBER(E293)),IF(ABS(E293-D293)&lt;=1E-9*MAX(1,ABS(D293)),"Yes","No"),IF(EXACT(D293,E293),"Yes","No"))),"No")</f>
        <v/>
      </c>
    </row>
    <row r="294">
      <c r="A294" s="4" t="inlineStr">
        <is>
          <t>Workers</t>
        </is>
      </c>
      <c r="B294" s="4" t="inlineStr">
        <is>
          <t>S09: W-DE4</t>
        </is>
      </c>
      <c r="D294" s="5" t="inlineStr">
        <is>
          <t>Yes</t>
        </is>
      </c>
      <c r="E294" s="6">
        <f>Workers!I14</f>
        <v/>
      </c>
      <c r="F294" s="4">
        <f>IF(AND(ISNUMBER(D294),ISNUMBER(E294)),E294-D294,"")</f>
        <v/>
      </c>
      <c r="G294" s="4">
        <f>IFERROR(IF(AND(D294="",E294=""),"Yes",IF(AND(ISNUMBER(D294),ISNUMBER(E294)),IF(ABS(E294-D294)&lt;=1E-9*MAX(1,ABS(D294)),"Yes","No"),IF(EXACT(D294,E294),"Yes","No"))),"No")</f>
        <v/>
      </c>
    </row>
    <row r="295">
      <c r="A295" s="4" t="inlineStr">
        <is>
          <t>Workers</t>
        </is>
      </c>
      <c r="B295" s="4" t="inlineStr">
        <is>
          <t>S09: W-ES1</t>
        </is>
      </c>
      <c r="D295" s="5" t="n"/>
      <c r="E295" s="6">
        <f>Workers!J14</f>
        <v/>
      </c>
      <c r="F295" s="4">
        <f>IF(AND(ISNUMBER(D295),ISNUMBER(E295)),E295-D295,"")</f>
        <v/>
      </c>
      <c r="G295" s="4">
        <f>IFERROR(IF(AND(D295="",E295=""),"Yes",IF(AND(ISNUMBER(D295),ISNUMBER(E295)),IF(ABS(E295-D295)&lt;=1E-9*MAX(1,ABS(D295)),"Yes","No"),IF(EXACT(D295,E295),"Yes","No"))),"No")</f>
        <v/>
      </c>
    </row>
    <row r="296">
      <c r="A296" s="4" t="inlineStr">
        <is>
          <t>Workers</t>
        </is>
      </c>
      <c r="B296" s="4" t="inlineStr">
        <is>
          <t>S09: W-PL1</t>
        </is>
      </c>
      <c r="D296" s="5" t="n"/>
      <c r="E296" s="6">
        <f>Workers!K14</f>
        <v/>
      </c>
      <c r="F296" s="4">
        <f>IF(AND(ISNUMBER(D296),ISNUMBER(E296)),E296-D296,"")</f>
        <v/>
      </c>
      <c r="G296" s="4">
        <f>IFERROR(IF(AND(D296="",E296=""),"Yes",IF(AND(ISNUMBER(D296),ISNUMBER(E296)),IF(ABS(E296-D296)&lt;=1E-9*MAX(1,ABS(D296)),"Yes","No"),IF(EXACT(D296,E296),"Yes","No"))),"No")</f>
        <v/>
      </c>
    </row>
    <row r="297">
      <c r="A297" s="4" t="inlineStr">
        <is>
          <t>Workers</t>
        </is>
      </c>
      <c r="B297" s="4" t="inlineStr">
        <is>
          <t>S10: W-IT1</t>
        </is>
      </c>
      <c r="D297" s="5" t="n"/>
      <c r="E297" s="6">
        <f>Workers!D15</f>
        <v/>
      </c>
      <c r="F297" s="4">
        <f>IF(AND(ISNUMBER(D297),ISNUMBER(E297)),E297-D297,"")</f>
        <v/>
      </c>
      <c r="G297" s="4">
        <f>IFERROR(IF(AND(D297="",E297=""),"Yes",IF(AND(ISNUMBER(D297),ISNUMBER(E297)),IF(ABS(E297-D297)&lt;=1E-9*MAX(1,ABS(D297)),"Yes","No"),IF(EXACT(D297,E297),"Yes","No"))),"No")</f>
        <v/>
      </c>
    </row>
    <row r="298">
      <c r="A298" s="4" t="inlineStr">
        <is>
          <t>Workers</t>
        </is>
      </c>
      <c r="B298" s="4" t="inlineStr">
        <is>
          <t>S10: W-IT2</t>
        </is>
      </c>
      <c r="D298" s="5" t="n"/>
      <c r="E298" s="6">
        <f>Workers!E15</f>
        <v/>
      </c>
      <c r="F298" s="4">
        <f>IF(AND(ISNUMBER(D298),ISNUMBER(E298)),E298-D298,"")</f>
        <v/>
      </c>
      <c r="G298" s="4">
        <f>IFERROR(IF(AND(D298="",E298=""),"Yes",IF(AND(ISNUMBER(D298),ISNUMBER(E298)),IF(ABS(E298-D298)&lt;=1E-9*MAX(1,ABS(D298)),"Yes","No"),IF(EXACT(D298,E298),"Yes","No"))),"No")</f>
        <v/>
      </c>
    </row>
    <row r="299">
      <c r="A299" s="4" t="inlineStr">
        <is>
          <t>Workers</t>
        </is>
      </c>
      <c r="B299" s="4" t="inlineStr">
        <is>
          <t>S10: W-DE1</t>
        </is>
      </c>
      <c r="D299" s="5" t="inlineStr">
        <is>
          <t>Yes</t>
        </is>
      </c>
      <c r="E299" s="6">
        <f>Workers!F15</f>
        <v/>
      </c>
      <c r="F299" s="4">
        <f>IF(AND(ISNUMBER(D299),ISNUMBER(E299)),E299-D299,"")</f>
        <v/>
      </c>
      <c r="G299" s="4">
        <f>IFERROR(IF(AND(D299="",E299=""),"Yes",IF(AND(ISNUMBER(D299),ISNUMBER(E299)),IF(ABS(E299-D299)&lt;=1E-9*MAX(1,ABS(D299)),"Yes","No"),IF(EXACT(D299,E299),"Yes","No"))),"No")</f>
        <v/>
      </c>
    </row>
    <row r="300">
      <c r="A300" s="4" t="inlineStr">
        <is>
          <t>Workers</t>
        </is>
      </c>
      <c r="B300" s="4" t="inlineStr">
        <is>
          <t>S10: W-DE2</t>
        </is>
      </c>
      <c r="D300" s="5" t="n"/>
      <c r="E300" s="6">
        <f>Workers!G15</f>
        <v/>
      </c>
      <c r="F300" s="4">
        <f>IF(AND(ISNUMBER(D300),ISNUMBER(E300)),E300-D300,"")</f>
        <v/>
      </c>
      <c r="G300" s="4">
        <f>IFERROR(IF(AND(D300="",E300=""),"Yes",IF(AND(ISNUMBER(D300),ISNUMBER(E300)),IF(ABS(E300-D300)&lt;=1E-9*MAX(1,ABS(D300)),"Yes","No"),IF(EXACT(D300,E300),"Yes","No"))),"No")</f>
        <v/>
      </c>
    </row>
    <row r="301">
      <c r="A301" s="4" t="inlineStr">
        <is>
          <t>Workers</t>
        </is>
      </c>
      <c r="B301" s="4" t="inlineStr">
        <is>
          <t>S10: W-DE3</t>
        </is>
      </c>
      <c r="D301" s="5" t="n"/>
      <c r="E301" s="6">
        <f>Workers!H15</f>
        <v/>
      </c>
      <c r="F301" s="4">
        <f>IF(AND(ISNUMBER(D301),ISNUMBER(E301)),E301-D301,"")</f>
        <v/>
      </c>
      <c r="G301" s="4">
        <f>IFERROR(IF(AND(D301="",E301=""),"Yes",IF(AND(ISNUMBER(D301),ISNUMBER(E301)),IF(ABS(E301-D301)&lt;=1E-9*MAX(1,ABS(D301)),"Yes","No"),IF(EXACT(D301,E301),"Yes","No"))),"No")</f>
        <v/>
      </c>
    </row>
    <row r="302">
      <c r="A302" s="4" t="inlineStr">
        <is>
          <t>Workers</t>
        </is>
      </c>
      <c r="B302" s="4" t="inlineStr">
        <is>
          <t>S10: W-DE4</t>
        </is>
      </c>
      <c r="D302" s="5" t="inlineStr">
        <is>
          <t>Yes</t>
        </is>
      </c>
      <c r="E302" s="6">
        <f>Workers!I15</f>
        <v/>
      </c>
      <c r="F302" s="4">
        <f>IF(AND(ISNUMBER(D302),ISNUMBER(E302)),E302-D302,"")</f>
        <v/>
      </c>
      <c r="G302" s="4">
        <f>IFERROR(IF(AND(D302="",E302=""),"Yes",IF(AND(ISNUMBER(D302),ISNUMBER(E302)),IF(ABS(E302-D302)&lt;=1E-9*MAX(1,ABS(D302)),"Yes","No"),IF(EXACT(D302,E302),"Yes","No"))),"No")</f>
        <v/>
      </c>
    </row>
    <row r="303">
      <c r="A303" s="4" t="inlineStr">
        <is>
          <t>Workers</t>
        </is>
      </c>
      <c r="B303" s="4" t="inlineStr">
        <is>
          <t>S10: W-ES1</t>
        </is>
      </c>
      <c r="D303" s="5" t="n"/>
      <c r="E303" s="6">
        <f>Workers!J15</f>
        <v/>
      </c>
      <c r="F303" s="4">
        <f>IF(AND(ISNUMBER(D303),ISNUMBER(E303)),E303-D303,"")</f>
        <v/>
      </c>
      <c r="G303" s="4">
        <f>IFERROR(IF(AND(D303="",E303=""),"Yes",IF(AND(ISNUMBER(D303),ISNUMBER(E303)),IF(ABS(E303-D303)&lt;=1E-9*MAX(1,ABS(D303)),"Yes","No"),IF(EXACT(D303,E303),"Yes","No"))),"No")</f>
        <v/>
      </c>
    </row>
    <row r="304">
      <c r="A304" s="4" t="inlineStr">
        <is>
          <t>Workers</t>
        </is>
      </c>
      <c r="B304" s="4" t="inlineStr">
        <is>
          <t>S10: W-PL1</t>
        </is>
      </c>
      <c r="D304" s="5" t="n"/>
      <c r="E304" s="6">
        <f>Workers!K15</f>
        <v/>
      </c>
      <c r="F304" s="4">
        <f>IF(AND(ISNUMBER(D304),ISNUMBER(E304)),E304-D304,"")</f>
        <v/>
      </c>
      <c r="G304" s="4">
        <f>IFERROR(IF(AND(D304="",E304=""),"Yes",IF(AND(ISNUMBER(D304),ISNUMBER(E304)),IF(ABS(E304-D304)&lt;=1E-9*MAX(1,ABS(D304)),"Yes","No"),IF(EXACT(D304,E304),"Yes","No"))),"No")</f>
        <v/>
      </c>
    </row>
    <row r="305">
      <c r="A305" s="4" t="inlineStr">
        <is>
          <t>Workers</t>
        </is>
      </c>
      <c r="B305" s="4" t="inlineStr">
        <is>
          <t>S11: W-IT1</t>
        </is>
      </c>
      <c r="D305" s="5" t="n"/>
      <c r="E305" s="6">
        <f>Workers!D16</f>
        <v/>
      </c>
      <c r="F305" s="4">
        <f>IF(AND(ISNUMBER(D305),ISNUMBER(E305)),E305-D305,"")</f>
        <v/>
      </c>
      <c r="G305" s="4">
        <f>IFERROR(IF(AND(D305="",E305=""),"Yes",IF(AND(ISNUMBER(D305),ISNUMBER(E305)),IF(ABS(E305-D305)&lt;=1E-9*MAX(1,ABS(D305)),"Yes","No"),IF(EXACT(D305,E305),"Yes","No"))),"No")</f>
        <v/>
      </c>
    </row>
    <row r="306">
      <c r="A306" s="4" t="inlineStr">
        <is>
          <t>Workers</t>
        </is>
      </c>
      <c r="B306" s="4" t="inlineStr">
        <is>
          <t>S11: W-IT2</t>
        </is>
      </c>
      <c r="D306" s="5" t="n"/>
      <c r="E306" s="6">
        <f>Workers!E16</f>
        <v/>
      </c>
      <c r="F306" s="4">
        <f>IF(AND(ISNUMBER(D306),ISNUMBER(E306)),E306-D306,"")</f>
        <v/>
      </c>
      <c r="G306" s="4">
        <f>IFERROR(IF(AND(D306="",E306=""),"Yes",IF(AND(ISNUMBER(D306),ISNUMBER(E306)),IF(ABS(E306-D306)&lt;=1E-9*MAX(1,ABS(D306)),"Yes","No"),IF(EXACT(D306,E306),"Yes","No"))),"No")</f>
        <v/>
      </c>
    </row>
    <row r="307">
      <c r="A307" s="4" t="inlineStr">
        <is>
          <t>Workers</t>
        </is>
      </c>
      <c r="B307" s="4" t="inlineStr">
        <is>
          <t>S11: W-DE1</t>
        </is>
      </c>
      <c r="D307" s="5" t="inlineStr">
        <is>
          <t>Yes</t>
        </is>
      </c>
      <c r="E307" s="6">
        <f>Workers!F16</f>
        <v/>
      </c>
      <c r="F307" s="4">
        <f>IF(AND(ISNUMBER(D307),ISNUMBER(E307)),E307-D307,"")</f>
        <v/>
      </c>
      <c r="G307" s="4">
        <f>IFERROR(IF(AND(D307="",E307=""),"Yes",IF(AND(ISNUMBER(D307),ISNUMBER(E307)),IF(ABS(E307-D307)&lt;=1E-9*MAX(1,ABS(D307)),"Yes","No"),IF(EXACT(D307,E307),"Yes","No"))),"No")</f>
        <v/>
      </c>
    </row>
    <row r="308">
      <c r="A308" s="4" t="inlineStr">
        <is>
          <t>Workers</t>
        </is>
      </c>
      <c r="B308" s="4" t="inlineStr">
        <is>
          <t>S11: W-DE2</t>
        </is>
      </c>
      <c r="D308" s="5" t="n"/>
      <c r="E308" s="6">
        <f>Workers!G16</f>
        <v/>
      </c>
      <c r="F308" s="4">
        <f>IF(AND(ISNUMBER(D308),ISNUMBER(E308)),E308-D308,"")</f>
        <v/>
      </c>
      <c r="G308" s="4">
        <f>IFERROR(IF(AND(D308="",E308=""),"Yes",IF(AND(ISNUMBER(D308),ISNUMBER(E308)),IF(ABS(E308-D308)&lt;=1E-9*MAX(1,ABS(D308)),"Yes","No"),IF(EXACT(D308,E308),"Yes","No"))),"No")</f>
        <v/>
      </c>
    </row>
    <row r="309">
      <c r="A309" s="4" t="inlineStr">
        <is>
          <t>Workers</t>
        </is>
      </c>
      <c r="B309" s="4" t="inlineStr">
        <is>
          <t>S11: W-DE3</t>
        </is>
      </c>
      <c r="D309" s="5" t="n"/>
      <c r="E309" s="6">
        <f>Workers!H16</f>
        <v/>
      </c>
      <c r="F309" s="4">
        <f>IF(AND(ISNUMBER(D309),ISNUMBER(E309)),E309-D309,"")</f>
        <v/>
      </c>
      <c r="G309" s="4">
        <f>IFERROR(IF(AND(D309="",E309=""),"Yes",IF(AND(ISNUMBER(D309),ISNUMBER(E309)),IF(ABS(E309-D309)&lt;=1E-9*MAX(1,ABS(D309)),"Yes","No"),IF(EXACT(D309,E309),"Yes","No"))),"No")</f>
        <v/>
      </c>
    </row>
    <row r="310">
      <c r="A310" s="4" t="inlineStr">
        <is>
          <t>Workers</t>
        </is>
      </c>
      <c r="B310" s="4" t="inlineStr">
        <is>
          <t>S11: W-DE4</t>
        </is>
      </c>
      <c r="D310" s="5" t="inlineStr">
        <is>
          <t>Yes</t>
        </is>
      </c>
      <c r="E310" s="6">
        <f>Workers!I16</f>
        <v/>
      </c>
      <c r="F310" s="4">
        <f>IF(AND(ISNUMBER(D310),ISNUMBER(E310)),E310-D310,"")</f>
        <v/>
      </c>
      <c r="G310" s="4">
        <f>IFERROR(IF(AND(D310="",E310=""),"Yes",IF(AND(ISNUMBER(D310),ISNUMBER(E310)),IF(ABS(E310-D310)&lt;=1E-9*MAX(1,ABS(D310)),"Yes","No"),IF(EXACT(D310,E310),"Yes","No"))),"No")</f>
        <v/>
      </c>
    </row>
    <row r="311">
      <c r="A311" s="4" t="inlineStr">
        <is>
          <t>Workers</t>
        </is>
      </c>
      <c r="B311" s="4" t="inlineStr">
        <is>
          <t>S11: W-ES1</t>
        </is>
      </c>
      <c r="D311" s="5" t="n"/>
      <c r="E311" s="6">
        <f>Workers!J16</f>
        <v/>
      </c>
      <c r="F311" s="4">
        <f>IF(AND(ISNUMBER(D311),ISNUMBER(E311)),E311-D311,"")</f>
        <v/>
      </c>
      <c r="G311" s="4">
        <f>IFERROR(IF(AND(D311="",E311=""),"Yes",IF(AND(ISNUMBER(D311),ISNUMBER(E311)),IF(ABS(E311-D311)&lt;=1E-9*MAX(1,ABS(D311)),"Yes","No"),IF(EXACT(D311,E311),"Yes","No"))),"No")</f>
        <v/>
      </c>
    </row>
    <row r="312">
      <c r="A312" s="4" t="inlineStr">
        <is>
          <t>Workers</t>
        </is>
      </c>
      <c r="B312" s="4" t="inlineStr">
        <is>
          <t>S11: W-PL1</t>
        </is>
      </c>
      <c r="D312" s="5" t="n"/>
      <c r="E312" s="6">
        <f>Workers!K16</f>
        <v/>
      </c>
      <c r="F312" s="4">
        <f>IF(AND(ISNUMBER(D312),ISNUMBER(E312)),E312-D312,"")</f>
        <v/>
      </c>
      <c r="G312" s="4">
        <f>IFERROR(IF(AND(D312="",E312=""),"Yes",IF(AND(ISNUMBER(D312),ISNUMBER(E312)),IF(ABS(E312-D312)&lt;=1E-9*MAX(1,ABS(D312)),"Yes","No"),IF(EXACT(D312,E312),"Yes","No"))),"No")</f>
        <v/>
      </c>
    </row>
    <row r="313">
      <c r="A313" s="4" t="inlineStr">
        <is>
          <t>Workers</t>
        </is>
      </c>
      <c r="B313" s="4" t="inlineStr">
        <is>
          <t>S12: W-IT1</t>
        </is>
      </c>
      <c r="D313" s="5" t="n"/>
      <c r="E313" s="6">
        <f>Workers!D17</f>
        <v/>
      </c>
      <c r="F313" s="4">
        <f>IF(AND(ISNUMBER(D313),ISNUMBER(E313)),E313-D313,"")</f>
        <v/>
      </c>
      <c r="G313" s="4">
        <f>IFERROR(IF(AND(D313="",E313=""),"Yes",IF(AND(ISNUMBER(D313),ISNUMBER(E313)),IF(ABS(E313-D313)&lt;=1E-9*MAX(1,ABS(D313)),"Yes","No"),IF(EXACT(D313,E313),"Yes","No"))),"No")</f>
        <v/>
      </c>
    </row>
    <row r="314">
      <c r="A314" s="4" t="inlineStr">
        <is>
          <t>Workers</t>
        </is>
      </c>
      <c r="B314" s="4" t="inlineStr">
        <is>
          <t>S12: W-IT2</t>
        </is>
      </c>
      <c r="D314" s="5" t="n"/>
      <c r="E314" s="6">
        <f>Workers!E17</f>
        <v/>
      </c>
      <c r="F314" s="4">
        <f>IF(AND(ISNUMBER(D314),ISNUMBER(E314)),E314-D314,"")</f>
        <v/>
      </c>
      <c r="G314" s="4">
        <f>IFERROR(IF(AND(D314="",E314=""),"Yes",IF(AND(ISNUMBER(D314),ISNUMBER(E314)),IF(ABS(E314-D314)&lt;=1E-9*MAX(1,ABS(D314)),"Yes","No"),IF(EXACT(D314,E314),"Yes","No"))),"No")</f>
        <v/>
      </c>
    </row>
    <row r="315">
      <c r="A315" s="4" t="inlineStr">
        <is>
          <t>Workers</t>
        </is>
      </c>
      <c r="B315" s="4" t="inlineStr">
        <is>
          <t>S12: W-DE1</t>
        </is>
      </c>
      <c r="D315" s="5" t="inlineStr">
        <is>
          <t>Yes</t>
        </is>
      </c>
      <c r="E315" s="6">
        <f>Workers!F17</f>
        <v/>
      </c>
      <c r="F315" s="4">
        <f>IF(AND(ISNUMBER(D315),ISNUMBER(E315)),E315-D315,"")</f>
        <v/>
      </c>
      <c r="G315" s="4">
        <f>IFERROR(IF(AND(D315="",E315=""),"Yes",IF(AND(ISNUMBER(D315),ISNUMBER(E315)),IF(ABS(E315-D315)&lt;=1E-9*MAX(1,ABS(D315)),"Yes","No"),IF(EXACT(D315,E315),"Yes","No"))),"No")</f>
        <v/>
      </c>
    </row>
    <row r="316">
      <c r="A316" s="4" t="inlineStr">
        <is>
          <t>Workers</t>
        </is>
      </c>
      <c r="B316" s="4" t="inlineStr">
        <is>
          <t>S12: W-DE2</t>
        </is>
      </c>
      <c r="D316" s="5" t="inlineStr">
        <is>
          <t>Yes</t>
        </is>
      </c>
      <c r="E316" s="6">
        <f>Workers!G17</f>
        <v/>
      </c>
      <c r="F316" s="4">
        <f>IF(AND(ISNUMBER(D316),ISNUMBER(E316)),E316-D316,"")</f>
        <v/>
      </c>
      <c r="G316" s="4">
        <f>IFERROR(IF(AND(D316="",E316=""),"Yes",IF(AND(ISNUMBER(D316),ISNUMBER(E316)),IF(ABS(E316-D316)&lt;=1E-9*MAX(1,ABS(D316)),"Yes","No"),IF(EXACT(D316,E316),"Yes","No"))),"No")</f>
        <v/>
      </c>
    </row>
    <row r="317">
      <c r="A317" s="4" t="inlineStr">
        <is>
          <t>Workers</t>
        </is>
      </c>
      <c r="B317" s="4" t="inlineStr">
        <is>
          <t>S12: W-DE3</t>
        </is>
      </c>
      <c r="D317" s="5" t="inlineStr">
        <is>
          <t>Yes</t>
        </is>
      </c>
      <c r="E317" s="6">
        <f>Workers!H17</f>
        <v/>
      </c>
      <c r="F317" s="4">
        <f>IF(AND(ISNUMBER(D317),ISNUMBER(E317)),E317-D317,"")</f>
        <v/>
      </c>
      <c r="G317" s="4">
        <f>IFERROR(IF(AND(D317="",E317=""),"Yes",IF(AND(ISNUMBER(D317),ISNUMBER(E317)),IF(ABS(E317-D317)&lt;=1E-9*MAX(1,ABS(D317)),"Yes","No"),IF(EXACT(D317,E317),"Yes","No"))),"No")</f>
        <v/>
      </c>
    </row>
    <row r="318">
      <c r="A318" s="4" t="inlineStr">
        <is>
          <t>Workers</t>
        </is>
      </c>
      <c r="B318" s="4" t="inlineStr">
        <is>
          <t>S12: W-DE4</t>
        </is>
      </c>
      <c r="D318" s="5" t="inlineStr">
        <is>
          <t>Yes</t>
        </is>
      </c>
      <c r="E318" s="6">
        <f>Workers!I17</f>
        <v/>
      </c>
      <c r="F318" s="4">
        <f>IF(AND(ISNUMBER(D318),ISNUMBER(E318)),E318-D318,"")</f>
        <v/>
      </c>
      <c r="G318" s="4">
        <f>IFERROR(IF(AND(D318="",E318=""),"Yes",IF(AND(ISNUMBER(D318),ISNUMBER(E318)),IF(ABS(E318-D318)&lt;=1E-9*MAX(1,ABS(D318)),"Yes","No"),IF(EXACT(D318,E318),"Yes","No"))),"No")</f>
        <v/>
      </c>
    </row>
    <row r="319">
      <c r="A319" s="4" t="inlineStr">
        <is>
          <t>Workers</t>
        </is>
      </c>
      <c r="B319" s="4" t="inlineStr">
        <is>
          <t>S12: W-ES1</t>
        </is>
      </c>
      <c r="D319" s="5" t="inlineStr">
        <is>
          <t>Yes</t>
        </is>
      </c>
      <c r="E319" s="6">
        <f>Workers!J17</f>
        <v/>
      </c>
      <c r="F319" s="4">
        <f>IF(AND(ISNUMBER(D319),ISNUMBER(E319)),E319-D319,"")</f>
        <v/>
      </c>
      <c r="G319" s="4">
        <f>IFERROR(IF(AND(D319="",E319=""),"Yes",IF(AND(ISNUMBER(D319),ISNUMBER(E319)),IF(ABS(E319-D319)&lt;=1E-9*MAX(1,ABS(D319)),"Yes","No"),IF(EXACT(D319,E319),"Yes","No"))),"No")</f>
        <v/>
      </c>
    </row>
    <row r="320">
      <c r="A320" s="4" t="inlineStr">
        <is>
          <t>Workers</t>
        </is>
      </c>
      <c r="B320" s="4" t="inlineStr">
        <is>
          <t>S12: W-PL1</t>
        </is>
      </c>
      <c r="D320" s="5" t="n"/>
      <c r="E320" s="6">
        <f>Workers!K17</f>
        <v/>
      </c>
      <c r="F320" s="4">
        <f>IF(AND(ISNUMBER(D320),ISNUMBER(E320)),E320-D320,"")</f>
        <v/>
      </c>
      <c r="G320" s="4">
        <f>IFERROR(IF(AND(D320="",E320=""),"Yes",IF(AND(ISNUMBER(D320),ISNUMBER(E320)),IF(ABS(E320-D320)&lt;=1E-9*MAX(1,ABS(D320)),"Yes","No"),IF(EXACT(D320,E320),"Yes","No"))),"No")</f>
        <v/>
      </c>
    </row>
    <row r="321">
      <c r="A321" s="4" t="inlineStr">
        <is>
          <t>Workers</t>
        </is>
      </c>
      <c r="B321" s="4" t="inlineStr">
        <is>
          <t>W-IT1: systems</t>
        </is>
      </c>
      <c r="D321" s="5" t="n">
        <v>1</v>
      </c>
      <c r="E321" s="6">
        <f>Workers!D18</f>
        <v/>
      </c>
      <c r="F321" s="4">
        <f>IF(AND(ISNUMBER(D321),ISNUMBER(E321)),E321-D321,"")</f>
        <v/>
      </c>
      <c r="G321" s="4">
        <f>IFERROR(IF(AND(D321="",E321=""),"Yes",IF(AND(ISNUMBER(D321),ISNUMBER(E321)),IF(ABS(E321-D321)&lt;=1E-9*MAX(1,ABS(D321)),"Yes","No"),IF(EXACT(D321,E321),"Yes","No"))),"No")</f>
        <v/>
      </c>
    </row>
    <row r="322">
      <c r="A322" s="4" t="inlineStr">
        <is>
          <t>Workers</t>
        </is>
      </c>
      <c r="B322" s="4" t="inlineStr">
        <is>
          <t>W-IT2: systems</t>
        </is>
      </c>
      <c r="D322" s="5" t="n">
        <v>1</v>
      </c>
      <c r="E322" s="6">
        <f>Workers!E18</f>
        <v/>
      </c>
      <c r="F322" s="4">
        <f>IF(AND(ISNUMBER(D322),ISNUMBER(E322)),E322-D322,"")</f>
        <v/>
      </c>
      <c r="G322" s="4">
        <f>IFERROR(IF(AND(D322="",E322=""),"Yes",IF(AND(ISNUMBER(D322),ISNUMBER(E322)),IF(ABS(E322-D322)&lt;=1E-9*MAX(1,ABS(D322)),"Yes","No"),IF(EXACT(D322,E322),"Yes","No"))),"No")</f>
        <v/>
      </c>
    </row>
    <row r="323">
      <c r="A323" s="4" t="inlineStr">
        <is>
          <t>Workers</t>
        </is>
      </c>
      <c r="B323" s="4" t="inlineStr">
        <is>
          <t>W-DE1: systems</t>
        </is>
      </c>
      <c r="D323" s="5" t="n">
        <v>11</v>
      </c>
      <c r="E323" s="6">
        <f>Workers!F18</f>
        <v/>
      </c>
      <c r="F323" s="4">
        <f>IF(AND(ISNUMBER(D323),ISNUMBER(E323)),E323-D323,"")</f>
        <v/>
      </c>
      <c r="G323" s="4">
        <f>IFERROR(IF(AND(D323="",E323=""),"Yes",IF(AND(ISNUMBER(D323),ISNUMBER(E323)),IF(ABS(E323-D323)&lt;=1E-9*MAX(1,ABS(D323)),"Yes","No"),IF(EXACT(D323,E323),"Yes","No"))),"No")</f>
        <v/>
      </c>
    </row>
    <row r="324">
      <c r="A324" s="4" t="inlineStr">
        <is>
          <t>Workers</t>
        </is>
      </c>
      <c r="B324" s="4" t="inlineStr">
        <is>
          <t>W-DE2: systems</t>
        </is>
      </c>
      <c r="D324" s="5" t="n">
        <v>5</v>
      </c>
      <c r="E324" s="6">
        <f>Workers!G18</f>
        <v/>
      </c>
      <c r="F324" s="4">
        <f>IF(AND(ISNUMBER(D324),ISNUMBER(E324)),E324-D324,"")</f>
        <v/>
      </c>
      <c r="G324" s="4">
        <f>IFERROR(IF(AND(D324="",E324=""),"Yes",IF(AND(ISNUMBER(D324),ISNUMBER(E324)),IF(ABS(E324-D324)&lt;=1E-9*MAX(1,ABS(D324)),"Yes","No"),IF(EXACT(D324,E324),"Yes","No"))),"No")</f>
        <v/>
      </c>
    </row>
    <row r="325">
      <c r="A325" s="4" t="inlineStr">
        <is>
          <t>Workers</t>
        </is>
      </c>
      <c r="B325" s="4" t="inlineStr">
        <is>
          <t>W-DE3: systems</t>
        </is>
      </c>
      <c r="D325" s="5" t="n">
        <v>2</v>
      </c>
      <c r="E325" s="6">
        <f>Workers!H18</f>
        <v/>
      </c>
      <c r="F325" s="4">
        <f>IF(AND(ISNUMBER(D325),ISNUMBER(E325)),E325-D325,"")</f>
        <v/>
      </c>
      <c r="G325" s="4">
        <f>IFERROR(IF(AND(D325="",E325=""),"Yes",IF(AND(ISNUMBER(D325),ISNUMBER(E325)),IF(ABS(E325-D325)&lt;=1E-9*MAX(1,ABS(D325)),"Yes","No"),IF(EXACT(D325,E325),"Yes","No"))),"No")</f>
        <v/>
      </c>
    </row>
    <row r="326">
      <c r="A326" s="4" t="inlineStr">
        <is>
          <t>Workers</t>
        </is>
      </c>
      <c r="B326" s="4" t="inlineStr">
        <is>
          <t>W-DE4: systems</t>
        </is>
      </c>
      <c r="D326" s="5" t="n">
        <v>11</v>
      </c>
      <c r="E326" s="6">
        <f>Workers!I18</f>
        <v/>
      </c>
      <c r="F326" s="4">
        <f>IF(AND(ISNUMBER(D326),ISNUMBER(E326)),E326-D326,"")</f>
        <v/>
      </c>
      <c r="G326" s="4">
        <f>IFERROR(IF(AND(D326="",E326=""),"Yes",IF(AND(ISNUMBER(D326),ISNUMBER(E326)),IF(ABS(E326-D326)&lt;=1E-9*MAX(1,ABS(D326)),"Yes","No"),IF(EXACT(D326,E326),"Yes","No"))),"No")</f>
        <v/>
      </c>
    </row>
    <row r="327">
      <c r="A327" s="4" t="inlineStr">
        <is>
          <t>Workers</t>
        </is>
      </c>
      <c r="B327" s="4" t="inlineStr">
        <is>
          <t>W-ES1: systems</t>
        </is>
      </c>
      <c r="D327" s="5" t="n">
        <v>7</v>
      </c>
      <c r="E327" s="6">
        <f>Workers!J18</f>
        <v/>
      </c>
      <c r="F327" s="4">
        <f>IF(AND(ISNUMBER(D327),ISNUMBER(E327)),E327-D327,"")</f>
        <v/>
      </c>
      <c r="G327" s="4">
        <f>IFERROR(IF(AND(D327="",E327=""),"Yes",IF(AND(ISNUMBER(D327),ISNUMBER(E327)),IF(ABS(E327-D327)&lt;=1E-9*MAX(1,ABS(D327)),"Yes","No"),IF(EXACT(D327,E327),"Yes","No"))),"No")</f>
        <v/>
      </c>
    </row>
    <row r="328">
      <c r="A328" s="4" t="inlineStr">
        <is>
          <t>Workers</t>
        </is>
      </c>
      <c r="B328" s="4" t="inlineStr">
        <is>
          <t>W-PL1: systems</t>
        </is>
      </c>
      <c r="D328" s="5" t="n">
        <v>1</v>
      </c>
      <c r="E328" s="6">
        <f>Workers!K18</f>
        <v/>
      </c>
      <c r="F328" s="4">
        <f>IF(AND(ISNUMBER(D328),ISNUMBER(E328)),E328-D328,"")</f>
        <v/>
      </c>
      <c r="G328" s="4">
        <f>IFERROR(IF(AND(D328="",E328=""),"Yes",IF(AND(ISNUMBER(D328),ISNUMBER(E328)),IF(ABS(E328-D328)&lt;=1E-9*MAX(1,ABS(D328)),"Yes","No"),IF(EXACT(D328,E328),"Yes","No"))),"No")</f>
        <v/>
      </c>
    </row>
    <row r="329">
      <c r="A329" s="4" t="inlineStr">
        <is>
          <t>Timeline</t>
        </is>
      </c>
      <c r="B329" s="4" t="inlineStr">
        <is>
          <t>Days to the high-risk duties</t>
        </is>
      </c>
      <c r="D329" s="5" t="n">
        <v>404</v>
      </c>
      <c r="E329" s="6">
        <f>Timeline!F19</f>
        <v/>
      </c>
      <c r="F329" s="4">
        <f>IF(AND(ISNUMBER(D329),ISNUMBER(E329)),E329-D329,"")</f>
        <v/>
      </c>
      <c r="G329" s="4">
        <f>IFERROR(IF(AND(D329="",E329=""),"Yes",IF(AND(ISNUMBER(D329),ISNUMBER(E329)),IF(ABS(E329-D329)&lt;=1E-9*MAX(1,ABS(D329)),"Yes","No"),IF(EXACT(D329,E329),"Yes","No"))),"No")</f>
        <v/>
      </c>
    </row>
    <row r="330">
      <c r="A330" s="4" t="inlineStr">
        <is>
          <t>Summary</t>
        </is>
      </c>
      <c r="B330" s="4" t="inlineStr">
        <is>
          <t>Systems: Prohibited</t>
        </is>
      </c>
      <c r="D330" s="5" t="n">
        <v>1</v>
      </c>
      <c r="E330" s="6">
        <f>Summary!C5</f>
        <v/>
      </c>
      <c r="F330" s="4">
        <f>IF(AND(ISNUMBER(D330),ISNUMBER(E330)),E330-D330,"")</f>
        <v/>
      </c>
      <c r="G330" s="4">
        <f>IFERROR(IF(AND(D330="",E330=""),"Yes",IF(AND(ISNUMBER(D330),ISNUMBER(E330)),IF(ABS(E330-D330)&lt;=1E-9*MAX(1,ABS(D330)),"Yes","No"),IF(EXACT(D330,E330),"Yes","No"))),"No")</f>
        <v/>
      </c>
    </row>
    <row r="331">
      <c r="A331" s="4" t="inlineStr">
        <is>
          <t>Summary</t>
        </is>
      </c>
      <c r="B331" s="4" t="inlineStr">
        <is>
          <t>Systems: High-risk</t>
        </is>
      </c>
      <c r="D331" s="5" t="n">
        <v>7</v>
      </c>
      <c r="E331" s="6">
        <f>Summary!C6</f>
        <v/>
      </c>
      <c r="F331" s="4">
        <f>IF(AND(ISNUMBER(D331),ISNUMBER(E331)),E331-D331,"")</f>
        <v/>
      </c>
      <c r="G331" s="4">
        <f>IFERROR(IF(AND(D331="",E331=""),"Yes",IF(AND(ISNUMBER(D331),ISNUMBER(E331)),IF(ABS(E331-D331)&lt;=1E-9*MAX(1,ABS(D331)),"Yes","No"),IF(EXACT(D331,E331),"Yes","No"))),"No")</f>
        <v/>
      </c>
    </row>
    <row r="332">
      <c r="A332" s="4" t="inlineStr">
        <is>
          <t>Summary</t>
        </is>
      </c>
      <c r="B332" s="4" t="inlineStr">
        <is>
          <t>Systems: Not high-risk (Art. 6(3))</t>
        </is>
      </c>
      <c r="D332" s="5" t="n">
        <v>1</v>
      </c>
      <c r="E332" s="6">
        <f>Summary!C7</f>
        <v/>
      </c>
      <c r="F332" s="4">
        <f>IF(AND(ISNUMBER(D332),ISNUMBER(E332)),E332-D332,"")</f>
        <v/>
      </c>
      <c r="G332" s="4">
        <f>IFERROR(IF(AND(D332="",E332=""),"Yes",IF(AND(ISNUMBER(D332),ISNUMBER(E332)),IF(ABS(E332-D332)&lt;=1E-9*MAX(1,ABS(D332)),"Yes","No"),IF(EXACT(D332,E332),"Yes","No"))),"No")</f>
        <v/>
      </c>
    </row>
    <row r="333">
      <c r="A333" s="4" t="inlineStr">
        <is>
          <t>Summary</t>
        </is>
      </c>
      <c r="B333" s="4" t="inlineStr">
        <is>
          <t>Systems: Transparency only</t>
        </is>
      </c>
      <c r="D333" s="5" t="n">
        <v>1</v>
      </c>
      <c r="E333" s="6">
        <f>Summary!C8</f>
        <v/>
      </c>
      <c r="F333" s="4">
        <f>IF(AND(ISNUMBER(D333),ISNUMBER(E333)),E333-D333,"")</f>
        <v/>
      </c>
      <c r="G333" s="4">
        <f>IFERROR(IF(AND(D333="",E333=""),"Yes",IF(AND(ISNUMBER(D333),ISNUMBER(E333)),IF(ABS(E333-D333)&lt;=1E-9*MAX(1,ABS(D333)),"Yes","No"),IF(EXACT(D333,E333),"Yes","No"))),"No")</f>
        <v/>
      </c>
    </row>
    <row r="334">
      <c r="A334" s="4" t="inlineStr">
        <is>
          <t>Summary</t>
        </is>
      </c>
      <c r="B334" s="4" t="inlineStr">
        <is>
          <t>Systems: Minimal risk</t>
        </is>
      </c>
      <c r="D334" s="5" t="n">
        <v>2</v>
      </c>
      <c r="E334" s="6">
        <f>Summary!C9</f>
        <v/>
      </c>
      <c r="F334" s="4">
        <f>IF(AND(ISNUMBER(D334),ISNUMBER(E334)),E334-D334,"")</f>
        <v/>
      </c>
      <c r="G334" s="4">
        <f>IFERROR(IF(AND(D334="",E334=""),"Yes",IF(AND(ISNUMBER(D334),ISNUMBER(E334)),IF(ABS(E334-D334)&lt;=1E-9*MAX(1,ABS(D334)),"Yes","No"),IF(EXACT(D334,E334),"Yes","No"))),"No")</f>
        <v/>
      </c>
    </row>
    <row r="335">
      <c r="A335" s="4" t="inlineStr">
        <is>
          <t>Summary</t>
        </is>
      </c>
      <c r="B335" s="4" t="inlineStr">
        <is>
          <t>Systems the employer provides</t>
        </is>
      </c>
      <c r="D335" s="5" t="n">
        <v>1</v>
      </c>
      <c r="E335" s="6">
        <f>Summary!C12</f>
        <v/>
      </c>
      <c r="F335" s="4">
        <f>IF(AND(ISNUMBER(D335),ISNUMBER(E335)),E335-D335,"")</f>
        <v/>
      </c>
      <c r="G335" s="4">
        <f>IFERROR(IF(AND(D335="",E335=""),"Yes",IF(AND(ISNUMBER(D335),ISNUMBER(E335)),IF(ABS(E335-D335)&lt;=1E-9*MAX(1,ABS(D335)),"Yes","No"),IF(EXACT(D335,E335),"Yes","No"))),"No")</f>
        <v/>
      </c>
    </row>
    <row r="336">
      <c r="A336" s="4" t="inlineStr">
        <is>
          <t>Summary</t>
        </is>
      </c>
      <c r="B336" s="4" t="inlineStr">
        <is>
          <t>High-risk systems already on the market</t>
        </is>
      </c>
      <c r="D336" s="5" t="n">
        <v>7</v>
      </c>
      <c r="E336" s="6">
        <f>Summary!C14</f>
        <v/>
      </c>
      <c r="F336" s="4">
        <f>IF(AND(ISNUMBER(D336),ISNUMBER(E336)),E336-D336,"")</f>
        <v/>
      </c>
      <c r="G336" s="4">
        <f>IFERROR(IF(AND(D336="",E336=""),"Yes",IF(AND(ISNUMBER(D336),ISNUMBER(E336)),IF(ABS(E336-D336)&lt;=1E-9*MAX(1,ABS(D336)),"Yes","No"),IF(EXACT(D336,E336),"Yes","No"))),"No")</f>
        <v/>
      </c>
    </row>
  </sheetData>
  <conditionalFormatting sqref="G7:G336">
    <cfRule type="cellIs" priority="1" operator="equal" dxfId="4">
      <formula>"Yes"</formula>
    </cfRule>
    <cfRule type="cellIs" priority="2" operator="equal" dxfId="0">
      <formula>"No"</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Domenico Perroni</dc:creator>
  <dc:title xmlns:dc="http://purl.org/dc/elements/1.1/">AI Act Register for HR</dc:title>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